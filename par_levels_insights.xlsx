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esh\Downloads\kristaball\"/>
    </mc:Choice>
  </mc:AlternateContent>
  <xr:revisionPtr revIDLastSave="0" documentId="13_ncr:1_{F4093EE8-519E-4E70-9DB2-7938782E64ED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aw Data" sheetId="1" r:id="rId1"/>
    <sheet name="Bar Summary" sheetId="2" r:id="rId2"/>
    <sheet name="ABC Mix" sheetId="3" r:id="rId3"/>
    <sheet name="Category" sheetId="4" r:id="rId4"/>
    <sheet name="Top Items" sheetId="5" r:id="rId5"/>
    <sheet name="Rate vs P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4" l="1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C4" i="3"/>
  <c r="B4" i="3"/>
  <c r="C3" i="3"/>
  <c r="B3" i="3"/>
  <c r="C2" i="3"/>
  <c r="D2" i="3" s="1"/>
  <c r="B2" i="3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D3" i="3" l="1"/>
  <c r="D4" i="3"/>
</calcChain>
</file>

<file path=xl/sharedStrings.xml><?xml version="1.0" encoding="utf-8"?>
<sst xmlns="http://schemas.openxmlformats.org/spreadsheetml/2006/main" count="683" uniqueCount="153">
  <si>
    <t>bar</t>
  </si>
  <si>
    <t>brand</t>
  </si>
  <si>
    <t>alcohol_type</t>
  </si>
  <si>
    <t>abc</t>
  </si>
  <si>
    <t>service_level</t>
  </si>
  <si>
    <t>forecast_ml_per_day</t>
  </si>
  <si>
    <t>par_ml</t>
  </si>
  <si>
    <t>par_bottles</t>
  </si>
  <si>
    <t>reorder_point_ml</t>
  </si>
  <si>
    <t>days_of_cover</t>
  </si>
  <si>
    <t>Anderson's Bar</t>
  </si>
  <si>
    <t>Bacardi</t>
  </si>
  <si>
    <t>Rum</t>
  </si>
  <si>
    <t>A</t>
  </si>
  <si>
    <t>Barefoot</t>
  </si>
  <si>
    <t>Wine</t>
  </si>
  <si>
    <t>Grey Goose</t>
  </si>
  <si>
    <t>Vodka</t>
  </si>
  <si>
    <t>Captain Morgan</t>
  </si>
  <si>
    <t>Jameson</t>
  </si>
  <si>
    <t>Whiskey</t>
  </si>
  <si>
    <t>Jim Beam</t>
  </si>
  <si>
    <t>Smirnoff</t>
  </si>
  <si>
    <t>Sutter Home</t>
  </si>
  <si>
    <t>Coors</t>
  </si>
  <si>
    <t>Beer</t>
  </si>
  <si>
    <t>Yellow Tail</t>
  </si>
  <si>
    <t>Jack Daniels</t>
  </si>
  <si>
    <t>B</t>
  </si>
  <si>
    <t>Heineken</t>
  </si>
  <si>
    <t>Miller</t>
  </si>
  <si>
    <t>Malibu</t>
  </si>
  <si>
    <t>C</t>
  </si>
  <si>
    <t>Budweiser</t>
  </si>
  <si>
    <t>Absolut</t>
  </si>
  <si>
    <t>Brown's Bar</t>
  </si>
  <si>
    <t>Johnson's Bar</t>
  </si>
  <si>
    <t>Smith's Bar</t>
  </si>
  <si>
    <t>Taylor's Bar</t>
  </si>
  <si>
    <t>Thomas's Bar</t>
  </si>
  <si>
    <t>Bar</t>
  </si>
  <si>
    <t>Item Count</t>
  </si>
  <si>
    <t>Total Par (ml)</t>
  </si>
  <si>
    <t>Total Par (bottles)</t>
  </si>
  <si>
    <t>Avg Days of Cover</t>
  </si>
  <si>
    <t>ABC Class</t>
  </si>
  <si>
    <t>Total Par Volume (ml)</t>
  </si>
  <si>
    <t>% of Total Volume</t>
  </si>
  <si>
    <t>Alcohol Type</t>
  </si>
  <si>
    <t>Avg Forecast Rate (ml/day)</t>
  </si>
  <si>
    <t>Item</t>
  </si>
  <si>
    <t>Brand</t>
  </si>
  <si>
    <t>ABC</t>
  </si>
  <si>
    <t>Par (bottles)</t>
  </si>
  <si>
    <t>Days of Cover</t>
  </si>
  <si>
    <t>Anderson's Bar | Coors</t>
  </si>
  <si>
    <t>Thomas's Bar | Miller</t>
  </si>
  <si>
    <t>Smith's Bar | Miller</t>
  </si>
  <si>
    <t>Johnson's Bar | Budweiser</t>
  </si>
  <si>
    <t>Taylor's Bar | Budweiser</t>
  </si>
  <si>
    <t>Anderson's Bar | Bacardi</t>
  </si>
  <si>
    <t>Anderson's Bar | Grey Goose</t>
  </si>
  <si>
    <t>Anderson's Bar | Barefoot</t>
  </si>
  <si>
    <t>Anderson's Bar | Sutter Home</t>
  </si>
  <si>
    <t>Anderson's Bar | Yellow Tail</t>
  </si>
  <si>
    <t>Anderson's Bar | Heineken</t>
  </si>
  <si>
    <t>Anderson's Bar | Miller</t>
  </si>
  <si>
    <t>Anderson's Bar | Jameson</t>
  </si>
  <si>
    <t>Anderson's Bar | Jim Beam</t>
  </si>
  <si>
    <t>Anderson's Bar | Smirnoff</t>
  </si>
  <si>
    <t>Forecast Rate (ml/day)</t>
  </si>
  <si>
    <t>Par (ml)</t>
  </si>
  <si>
    <t>Anderson's Bar | Captain Morgan</t>
  </si>
  <si>
    <t>Anderson's Bar | Jack Daniels</t>
  </si>
  <si>
    <t>Anderson's Bar | Malibu</t>
  </si>
  <si>
    <t>Anderson's Bar | Budweiser</t>
  </si>
  <si>
    <t>Anderson's Bar | Absolut</t>
  </si>
  <si>
    <t>Brown's Bar | Yellow Tail</t>
  </si>
  <si>
    <t>Brown's Bar | Grey Goose</t>
  </si>
  <si>
    <t>Brown's Bar | Jack Daniels</t>
  </si>
  <si>
    <t>Brown's Bar | Sutter Home</t>
  </si>
  <si>
    <t>Brown's Bar | Jameson</t>
  </si>
  <si>
    <t>Brown's Bar | Jim Beam</t>
  </si>
  <si>
    <t>Brown's Bar | Bacardi</t>
  </si>
  <si>
    <t>Brown's Bar | Heineken</t>
  </si>
  <si>
    <t>Brown's Bar | Captain Morgan</t>
  </si>
  <si>
    <t>Brown's Bar | Barefoot</t>
  </si>
  <si>
    <t>Brown's Bar | Absolut</t>
  </si>
  <si>
    <t>Brown's Bar | Malibu</t>
  </si>
  <si>
    <t>Brown's Bar | Budweiser</t>
  </si>
  <si>
    <t>Brown's Bar | Miller</t>
  </si>
  <si>
    <t>Brown's Bar | Smirnoff</t>
  </si>
  <si>
    <t>Brown's Bar | Coors</t>
  </si>
  <si>
    <t>Johnson's Bar | Captain Morgan</t>
  </si>
  <si>
    <t>Johnson's Bar | Smirnoff</t>
  </si>
  <si>
    <t>Johnson's Bar | Absolut</t>
  </si>
  <si>
    <t>Johnson's Bar | Barefoot</t>
  </si>
  <si>
    <t>Johnson's Bar | Malibu</t>
  </si>
  <si>
    <t>Johnson's Bar | Grey Goose</t>
  </si>
  <si>
    <t>Johnson's Bar | Sutter Home</t>
  </si>
  <si>
    <t>Johnson's Bar | Yellow Tail</t>
  </si>
  <si>
    <t>Johnson's Bar | Coors</t>
  </si>
  <si>
    <t>Johnson's Bar | Jameson</t>
  </si>
  <si>
    <t>Johnson's Bar | Bacardi</t>
  </si>
  <si>
    <t>Johnson's Bar | Jack Daniels</t>
  </si>
  <si>
    <t>Johnson's Bar | Heineken</t>
  </si>
  <si>
    <t>Johnson's Bar | Miller</t>
  </si>
  <si>
    <t>Johnson's Bar | Jim Beam</t>
  </si>
  <si>
    <t>Smith's Bar | Absolut</t>
  </si>
  <si>
    <t>Smith's Bar | Jim Beam</t>
  </si>
  <si>
    <t>Smith's Bar | Captain Morgan</t>
  </si>
  <si>
    <t>Smith's Bar | Malibu</t>
  </si>
  <si>
    <t>Smith's Bar | Yellow Tail</t>
  </si>
  <si>
    <t>Smith's Bar | Grey Goose</t>
  </si>
  <si>
    <t>Smith's Bar | Barefoot</t>
  </si>
  <si>
    <t>Smith's Bar | Jack Daniels</t>
  </si>
  <si>
    <t>Smith's Bar | Sutter Home</t>
  </si>
  <si>
    <t>Smith's Bar | Bacardi</t>
  </si>
  <si>
    <t>Smith's Bar | Smirnoff</t>
  </si>
  <si>
    <t>Smith's Bar | Jameson</t>
  </si>
  <si>
    <t>Smith's Bar | Coors</t>
  </si>
  <si>
    <t>Smith's Bar | Heineken</t>
  </si>
  <si>
    <t>Smith's Bar | Budweiser</t>
  </si>
  <si>
    <t>Taylor's Bar | Grey Goose</t>
  </si>
  <si>
    <t>Taylor's Bar | Jack Daniels</t>
  </si>
  <si>
    <t>Taylor's Bar | Captain Morgan</t>
  </si>
  <si>
    <t>Taylor's Bar | Jim Beam</t>
  </si>
  <si>
    <t>Taylor's Bar | Smirnoff</t>
  </si>
  <si>
    <t>Taylor's Bar | Malibu</t>
  </si>
  <si>
    <t>Taylor's Bar | Barefoot</t>
  </si>
  <si>
    <t>Taylor's Bar | Jameson</t>
  </si>
  <si>
    <t>Taylor's Bar | Bacardi</t>
  </si>
  <si>
    <t>Taylor's Bar | Absolut</t>
  </si>
  <si>
    <t>Taylor's Bar | Yellow Tail</t>
  </si>
  <si>
    <t>Taylor's Bar | Coors</t>
  </si>
  <si>
    <t>Taylor's Bar | Miller</t>
  </si>
  <si>
    <t>Taylor's Bar | Sutter Home</t>
  </si>
  <si>
    <t>Taylor's Bar | Heineken</t>
  </si>
  <si>
    <t>Thomas's Bar | Jack Daniels</t>
  </si>
  <si>
    <t>Thomas's Bar | Grey Goose</t>
  </si>
  <si>
    <t>Thomas's Bar | Jim Beam</t>
  </si>
  <si>
    <t>Thomas's Bar | Bacardi</t>
  </si>
  <si>
    <t>Thomas's Bar | Malibu</t>
  </si>
  <si>
    <t>Thomas's Bar | Jameson</t>
  </si>
  <si>
    <t>Thomas's Bar | Barefoot</t>
  </si>
  <si>
    <t>Thomas's Bar | Absolut</t>
  </si>
  <si>
    <t>Thomas's Bar | Captain Morgan</t>
  </si>
  <si>
    <t>Thomas's Bar | Smirnoff</t>
  </si>
  <si>
    <t>Thomas's Bar | Sutter Home</t>
  </si>
  <si>
    <t>Thomas's Bar | Coors</t>
  </si>
  <si>
    <t>Thomas's Bar | Yellow Tail</t>
  </si>
  <si>
    <t>Thomas's Bar | Heineken</t>
  </si>
  <si>
    <t>Thomas's Bar | Budweiser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</si>
</sst>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ED7D31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Par Level by Bar (bottles)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Summary'!$D$1</c:f>
              <c:strCache>
                <c:ptCount val="1"/>
                <c:pt idx="0">
                  <c:v>Total Par (bottles)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'Bar Summary'!$A$2:$A$7</c:f>
              <c:strCache>
                <c:ptCount val="6"/>
                <c:pt idx="0">
                  <c:v>Anderson's Bar</c:v>
                </c:pt>
                <c:pt idx="1">
                  <c:v>Brown's Bar</c:v>
                </c:pt>
                <c:pt idx="2">
                  <c:v>Johnson's Bar</c:v>
                </c:pt>
                <c:pt idx="3">
                  <c:v>Smith's Bar</c:v>
                </c:pt>
                <c:pt idx="4">
                  <c:v>Taylor's Bar</c:v>
                </c:pt>
                <c:pt idx="5">
                  <c:v>Thomas's Bar</c:v>
                </c:pt>
              </c:strCache>
            </c:strRef>
          </c:cat>
          <c:val>
            <c:numRef>
              <c:f>'Bar Summary'!$D$2:$D$7</c:f>
              <c:numCache>
                <c:formatCode>General</c:formatCode>
                <c:ptCount val="6"/>
                <c:pt idx="0">
                  <c:v>45</c:v>
                </c:pt>
                <c:pt idx="1">
                  <c:v>39</c:v>
                </c:pt>
                <c:pt idx="2">
                  <c:v>44</c:v>
                </c:pt>
                <c:pt idx="3">
                  <c:v>44</c:v>
                </c:pt>
                <c:pt idx="4">
                  <c:v>43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1-4327-9238-F08C0420F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86871"/>
        <c:axId val="71037232"/>
      </c:barChart>
      <c:catAx>
        <c:axId val="75586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37232"/>
        <c:crosses val="autoZero"/>
        <c:auto val="1"/>
        <c:lblAlgn val="ctr"/>
        <c:lblOffset val="100"/>
        <c:noMultiLvlLbl val="0"/>
      </c:catAx>
      <c:valAx>
        <c:axId val="71037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Bottles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868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Item Count by ABC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'ABC Mix'!$B$1</c:f>
              <c:strCache>
                <c:ptCount val="1"/>
                <c:pt idx="0">
                  <c:v>Item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114-4E4D-8AF7-DCCD15A7C5F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114-4E4D-8AF7-DCCD15A7C5F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114-4E4D-8AF7-DCCD15A7C5F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14-4E4D-8AF7-DCCD15A7C5F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14-4E4D-8AF7-DCCD15A7C5F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14-4E4D-8AF7-DCCD15A7C5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'ABC Mix'!$A$2:$A$4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Mix'!$B$2:$B$4</c:f>
              <c:numCache>
                <c:formatCode>General</c:formatCode>
                <c:ptCount val="3"/>
                <c:pt idx="0">
                  <c:v>60</c:v>
                </c:pt>
                <c:pt idx="1">
                  <c:v>23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14-4E4D-8AF7-DCCD15A7C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Par Volume by ABC Class (ml)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Mix'!$C$1</c:f>
              <c:strCache>
                <c:ptCount val="1"/>
                <c:pt idx="0">
                  <c:v>Total Par Volume (ml)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Mix'!$A$2:$A$4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Mix'!$C$2:$C$4</c:f>
              <c:numCache>
                <c:formatCode>General</c:formatCode>
                <c:ptCount val="3"/>
                <c:pt idx="0">
                  <c:v>122500</c:v>
                </c:pt>
                <c:pt idx="1">
                  <c:v>36000</c:v>
                </c:pt>
                <c:pt idx="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0-4916-953E-C82B45C26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0802"/>
        <c:axId val="89079716"/>
      </c:barChart>
      <c:catAx>
        <c:axId val="200908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79716"/>
        <c:crosses val="autoZero"/>
        <c:auto val="1"/>
        <c:lblAlgn val="ctr"/>
        <c:lblOffset val="100"/>
        <c:noMultiLvlLbl val="0"/>
      </c:catAx>
      <c:valAx>
        <c:axId val="89079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90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Days of Cover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Category!$C$1</c:f>
              <c:strCache>
                <c:ptCount val="1"/>
                <c:pt idx="0">
                  <c:v>Avg Days of Cover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Category!$A$2:$A$6</c:f>
              <c:strCache>
                <c:ptCount val="5"/>
                <c:pt idx="0">
                  <c:v>Beer</c:v>
                </c:pt>
                <c:pt idx="1">
                  <c:v>Rum</c:v>
                </c:pt>
                <c:pt idx="2">
                  <c:v>Vodka</c:v>
                </c:pt>
                <c:pt idx="3">
                  <c:v>Whiskey</c:v>
                </c:pt>
                <c:pt idx="4">
                  <c:v>Wine</c:v>
                </c:pt>
              </c:strCache>
            </c:strRef>
          </c:cat>
          <c:val>
            <c:numRef>
              <c:f>Category!$C$2:$C$6</c:f>
              <c:numCache>
                <c:formatCode>General</c:formatCode>
                <c:ptCount val="5"/>
                <c:pt idx="0">
                  <c:v>27.2</c:v>
                </c:pt>
                <c:pt idx="1">
                  <c:v>33.4</c:v>
                </c:pt>
                <c:pt idx="2">
                  <c:v>33.200000000000003</c:v>
                </c:pt>
                <c:pt idx="3">
                  <c:v>29.4</c:v>
                </c:pt>
                <c:pt idx="4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6-4A5F-A4BC-E5AA6F6E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75491"/>
        <c:axId val="51044846"/>
      </c:barChart>
      <c:catAx>
        <c:axId val="71575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44846"/>
        <c:crosses val="autoZero"/>
        <c:auto val="1"/>
        <c:lblAlgn val="ctr"/>
        <c:lblOffset val="100"/>
        <c:noMultiLvlLbl val="0"/>
      </c:catAx>
      <c:valAx>
        <c:axId val="51044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75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15 Items by Par Level (bottles)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Items'!$E$1</c:f>
              <c:strCache>
                <c:ptCount val="1"/>
                <c:pt idx="0">
                  <c:v>Par (bottles)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Items'!$A$2:$A$16</c:f>
              <c:strCache>
                <c:ptCount val="15"/>
                <c:pt idx="0">
                  <c:v>Anderson's Bar | Coors</c:v>
                </c:pt>
                <c:pt idx="1">
                  <c:v>Thomas's Bar | Miller</c:v>
                </c:pt>
                <c:pt idx="2">
                  <c:v>Smith's Bar | Miller</c:v>
                </c:pt>
                <c:pt idx="3">
                  <c:v>Johnson's Bar | Budweiser</c:v>
                </c:pt>
                <c:pt idx="4">
                  <c:v>Taylor's Bar | Budweiser</c:v>
                </c:pt>
                <c:pt idx="5">
                  <c:v>Anderson's Bar | Bacardi</c:v>
                </c:pt>
                <c:pt idx="6">
                  <c:v>Anderson's Bar | Grey Goose</c:v>
                </c:pt>
                <c:pt idx="7">
                  <c:v>Anderson's Bar | Barefoot</c:v>
                </c:pt>
                <c:pt idx="8">
                  <c:v>Anderson's Bar | Sutter Home</c:v>
                </c:pt>
                <c:pt idx="9">
                  <c:v>Anderson's Bar | Yellow Tail</c:v>
                </c:pt>
                <c:pt idx="10">
                  <c:v>Anderson's Bar | Heineken</c:v>
                </c:pt>
                <c:pt idx="11">
                  <c:v>Anderson's Bar | Miller</c:v>
                </c:pt>
                <c:pt idx="12">
                  <c:v>Anderson's Bar | Jameson</c:v>
                </c:pt>
                <c:pt idx="13">
                  <c:v>Anderson's Bar | Jim Beam</c:v>
                </c:pt>
                <c:pt idx="14">
                  <c:v>Anderson's Bar | Smirnoff</c:v>
                </c:pt>
              </c:strCache>
            </c:strRef>
          </c:cat>
          <c:val>
            <c:numRef>
              <c:f>'Top Items'!$E$2:$E$16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A-4879-9358-9E6309A0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19958"/>
        <c:axId val="93605511"/>
      </c:barChart>
      <c:catAx>
        <c:axId val="240199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Bottles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05511"/>
        <c:crosses val="autoZero"/>
        <c:auto val="1"/>
        <c:lblAlgn val="ctr"/>
        <c:lblOffset val="100"/>
        <c:noMultiLvlLbl val="0"/>
      </c:catAx>
      <c:valAx>
        <c:axId val="936055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19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Forecast Rate vs Par Level (one point per bar-item)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Class A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'Rate vs Par'!$B$2:$B$91</c:f>
              <c:numCache>
                <c:formatCode>General</c:formatCode>
                <c:ptCount val="90"/>
                <c:pt idx="0">
                  <c:v>67.900000000000006</c:v>
                </c:pt>
                <c:pt idx="1">
                  <c:v>66.2</c:v>
                </c:pt>
                <c:pt idx="2">
                  <c:v>65.2</c:v>
                </c:pt>
                <c:pt idx="3">
                  <c:v>64.5</c:v>
                </c:pt>
                <c:pt idx="4">
                  <c:v>63.4</c:v>
                </c:pt>
                <c:pt idx="5">
                  <c:v>62.7</c:v>
                </c:pt>
                <c:pt idx="6">
                  <c:v>61.3</c:v>
                </c:pt>
                <c:pt idx="7">
                  <c:v>60.8</c:v>
                </c:pt>
                <c:pt idx="8">
                  <c:v>60.5</c:v>
                </c:pt>
                <c:pt idx="9">
                  <c:v>59.8</c:v>
                </c:pt>
                <c:pt idx="10">
                  <c:v>56.9</c:v>
                </c:pt>
                <c:pt idx="11">
                  <c:v>55.9</c:v>
                </c:pt>
                <c:pt idx="12">
                  <c:v>55.9</c:v>
                </c:pt>
                <c:pt idx="13">
                  <c:v>49.2</c:v>
                </c:pt>
                <c:pt idx="14">
                  <c:v>47.7</c:v>
                </c:pt>
                <c:pt idx="15">
                  <c:v>45.8</c:v>
                </c:pt>
                <c:pt idx="16">
                  <c:v>69.2</c:v>
                </c:pt>
                <c:pt idx="17">
                  <c:v>65.900000000000006</c:v>
                </c:pt>
                <c:pt idx="18">
                  <c:v>63.3</c:v>
                </c:pt>
                <c:pt idx="19">
                  <c:v>61.5</c:v>
                </c:pt>
                <c:pt idx="20">
                  <c:v>60.1</c:v>
                </c:pt>
                <c:pt idx="21">
                  <c:v>59.6</c:v>
                </c:pt>
                <c:pt idx="22">
                  <c:v>59.6</c:v>
                </c:pt>
                <c:pt idx="23">
                  <c:v>57.6</c:v>
                </c:pt>
                <c:pt idx="24">
                  <c:v>56.4</c:v>
                </c:pt>
                <c:pt idx="25">
                  <c:v>54.8</c:v>
                </c:pt>
                <c:pt idx="26">
                  <c:v>54.7</c:v>
                </c:pt>
                <c:pt idx="27">
                  <c:v>53.6</c:v>
                </c:pt>
                <c:pt idx="28">
                  <c:v>53.3</c:v>
                </c:pt>
                <c:pt idx="29">
                  <c:v>52.6</c:v>
                </c:pt>
                <c:pt idx="30">
                  <c:v>52</c:v>
                </c:pt>
                <c:pt idx="31">
                  <c:v>45.7</c:v>
                </c:pt>
                <c:pt idx="32">
                  <c:v>68.3</c:v>
                </c:pt>
                <c:pt idx="33">
                  <c:v>67.900000000000006</c:v>
                </c:pt>
                <c:pt idx="34">
                  <c:v>66.7</c:v>
                </c:pt>
                <c:pt idx="35">
                  <c:v>65</c:v>
                </c:pt>
                <c:pt idx="36">
                  <c:v>63.7</c:v>
                </c:pt>
                <c:pt idx="37">
                  <c:v>63.5</c:v>
                </c:pt>
                <c:pt idx="38">
                  <c:v>60.4</c:v>
                </c:pt>
                <c:pt idx="39">
                  <c:v>56.8</c:v>
                </c:pt>
                <c:pt idx="40">
                  <c:v>55.9</c:v>
                </c:pt>
                <c:pt idx="41">
                  <c:v>55.3</c:v>
                </c:pt>
                <c:pt idx="42">
                  <c:v>55.3</c:v>
                </c:pt>
                <c:pt idx="43">
                  <c:v>55</c:v>
                </c:pt>
                <c:pt idx="44">
                  <c:v>54.9</c:v>
                </c:pt>
                <c:pt idx="45">
                  <c:v>53.9</c:v>
                </c:pt>
                <c:pt idx="46">
                  <c:v>51.2</c:v>
                </c:pt>
                <c:pt idx="47">
                  <c:v>47.9</c:v>
                </c:pt>
                <c:pt idx="48">
                  <c:v>67.099999999999994</c:v>
                </c:pt>
                <c:pt idx="49">
                  <c:v>64.2</c:v>
                </c:pt>
                <c:pt idx="50">
                  <c:v>63.8</c:v>
                </c:pt>
                <c:pt idx="51">
                  <c:v>63.6</c:v>
                </c:pt>
                <c:pt idx="52">
                  <c:v>61.3</c:v>
                </c:pt>
                <c:pt idx="53">
                  <c:v>60.8</c:v>
                </c:pt>
                <c:pt idx="54">
                  <c:v>59.3</c:v>
                </c:pt>
                <c:pt idx="55">
                  <c:v>59.1</c:v>
                </c:pt>
                <c:pt idx="56">
                  <c:v>57.6</c:v>
                </c:pt>
                <c:pt idx="57">
                  <c:v>55.9</c:v>
                </c:pt>
                <c:pt idx="58">
                  <c:v>53.4</c:v>
                </c:pt>
                <c:pt idx="59">
                  <c:v>53.1</c:v>
                </c:pt>
                <c:pt idx="60">
                  <c:v>53</c:v>
                </c:pt>
                <c:pt idx="61">
                  <c:v>52.9</c:v>
                </c:pt>
                <c:pt idx="62">
                  <c:v>52.1</c:v>
                </c:pt>
                <c:pt idx="63">
                  <c:v>46.1</c:v>
                </c:pt>
                <c:pt idx="64">
                  <c:v>65.3</c:v>
                </c:pt>
                <c:pt idx="65">
                  <c:v>65</c:v>
                </c:pt>
                <c:pt idx="66">
                  <c:v>64.099999999999994</c:v>
                </c:pt>
                <c:pt idx="67">
                  <c:v>60.6</c:v>
                </c:pt>
                <c:pt idx="68">
                  <c:v>60.1</c:v>
                </c:pt>
                <c:pt idx="69">
                  <c:v>59.9</c:v>
                </c:pt>
                <c:pt idx="70">
                  <c:v>59.5</c:v>
                </c:pt>
                <c:pt idx="71">
                  <c:v>58</c:v>
                </c:pt>
                <c:pt idx="72">
                  <c:v>57.4</c:v>
                </c:pt>
                <c:pt idx="73">
                  <c:v>57.2</c:v>
                </c:pt>
                <c:pt idx="74">
                  <c:v>56.3</c:v>
                </c:pt>
                <c:pt idx="75">
                  <c:v>56.2</c:v>
                </c:pt>
                <c:pt idx="76">
                  <c:v>51.1</c:v>
                </c:pt>
                <c:pt idx="77">
                  <c:v>50.8</c:v>
                </c:pt>
                <c:pt idx="78">
                  <c:v>49.9</c:v>
                </c:pt>
                <c:pt idx="79">
                  <c:v>44.4</c:v>
                </c:pt>
                <c:pt idx="80">
                  <c:v>65.8</c:v>
                </c:pt>
                <c:pt idx="81">
                  <c:v>63.6</c:v>
                </c:pt>
                <c:pt idx="82">
                  <c:v>63.6</c:v>
                </c:pt>
                <c:pt idx="83">
                  <c:v>63.3</c:v>
                </c:pt>
                <c:pt idx="84">
                  <c:v>60.4</c:v>
                </c:pt>
                <c:pt idx="85">
                  <c:v>60</c:v>
                </c:pt>
                <c:pt idx="86">
                  <c:v>58.5</c:v>
                </c:pt>
                <c:pt idx="87">
                  <c:v>57.9</c:v>
                </c:pt>
                <c:pt idx="88">
                  <c:v>57.8</c:v>
                </c:pt>
                <c:pt idx="89">
                  <c:v>57.6</c:v>
                </c:pt>
              </c:numCache>
            </c:numRef>
          </c:xVal>
          <c:yVal>
            <c:numRef>
              <c:f>'Rate vs Par'!$C$2:$C$91</c:f>
              <c:numCache>
                <c:formatCode>General</c:formatCode>
                <c:ptCount val="90"/>
                <c:pt idx="0">
                  <c:v>2250</c:v>
                </c:pt>
                <c:pt idx="1">
                  <c:v>2250</c:v>
                </c:pt>
                <c:pt idx="2">
                  <c:v>2250</c:v>
                </c:pt>
                <c:pt idx="3">
                  <c:v>2250</c:v>
                </c:pt>
                <c:pt idx="4">
                  <c:v>2250</c:v>
                </c:pt>
                <c:pt idx="5">
                  <c:v>2250</c:v>
                </c:pt>
                <c:pt idx="6">
                  <c:v>2250</c:v>
                </c:pt>
                <c:pt idx="7">
                  <c:v>2250</c:v>
                </c:pt>
                <c:pt idx="8">
                  <c:v>2000</c:v>
                </c:pt>
                <c:pt idx="9">
                  <c:v>2250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1000</c:v>
                </c:pt>
                <c:pt idx="15">
                  <c:v>1500</c:v>
                </c:pt>
                <c:pt idx="16">
                  <c:v>2250</c:v>
                </c:pt>
                <c:pt idx="17">
                  <c:v>2250</c:v>
                </c:pt>
                <c:pt idx="18">
                  <c:v>2250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2250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1000</c:v>
                </c:pt>
                <c:pt idx="32">
                  <c:v>2250</c:v>
                </c:pt>
                <c:pt idx="33">
                  <c:v>2250</c:v>
                </c:pt>
                <c:pt idx="34">
                  <c:v>2250</c:v>
                </c:pt>
                <c:pt idx="35">
                  <c:v>2250</c:v>
                </c:pt>
                <c:pt idx="36">
                  <c:v>2250</c:v>
                </c:pt>
                <c:pt idx="37">
                  <c:v>2250</c:v>
                </c:pt>
                <c:pt idx="38">
                  <c:v>2250</c:v>
                </c:pt>
                <c:pt idx="39">
                  <c:v>2000</c:v>
                </c:pt>
                <c:pt idx="40">
                  <c:v>2250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1000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2250</c:v>
                </c:pt>
                <c:pt idx="51">
                  <c:v>2250</c:v>
                </c:pt>
                <c:pt idx="52">
                  <c:v>2250</c:v>
                </c:pt>
                <c:pt idx="53">
                  <c:v>2250</c:v>
                </c:pt>
                <c:pt idx="54">
                  <c:v>2000</c:v>
                </c:pt>
                <c:pt idx="55">
                  <c:v>2250</c:v>
                </c:pt>
                <c:pt idx="56">
                  <c:v>2250</c:v>
                </c:pt>
                <c:pt idx="57">
                  <c:v>2250</c:v>
                </c:pt>
                <c:pt idx="58">
                  <c:v>1500</c:v>
                </c:pt>
                <c:pt idx="59">
                  <c:v>2250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1000</c:v>
                </c:pt>
                <c:pt idx="64">
                  <c:v>2250</c:v>
                </c:pt>
                <c:pt idx="65">
                  <c:v>2250</c:v>
                </c:pt>
                <c:pt idx="66">
                  <c:v>2000</c:v>
                </c:pt>
                <c:pt idx="67">
                  <c:v>2250</c:v>
                </c:pt>
                <c:pt idx="68">
                  <c:v>1500</c:v>
                </c:pt>
                <c:pt idx="69">
                  <c:v>2250</c:v>
                </c:pt>
                <c:pt idx="70">
                  <c:v>2250</c:v>
                </c:pt>
                <c:pt idx="71">
                  <c:v>1500</c:v>
                </c:pt>
                <c:pt idx="72">
                  <c:v>1500</c:v>
                </c:pt>
                <c:pt idx="73">
                  <c:v>2250</c:v>
                </c:pt>
                <c:pt idx="74">
                  <c:v>1500</c:v>
                </c:pt>
                <c:pt idx="75">
                  <c:v>2250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1000</c:v>
                </c:pt>
                <c:pt idx="80">
                  <c:v>2250</c:v>
                </c:pt>
                <c:pt idx="81">
                  <c:v>2250</c:v>
                </c:pt>
                <c:pt idx="82">
                  <c:v>1500</c:v>
                </c:pt>
                <c:pt idx="83">
                  <c:v>2000</c:v>
                </c:pt>
                <c:pt idx="84">
                  <c:v>1500</c:v>
                </c:pt>
                <c:pt idx="85">
                  <c:v>2250</c:v>
                </c:pt>
                <c:pt idx="86">
                  <c:v>1500</c:v>
                </c:pt>
                <c:pt idx="87">
                  <c:v>2250</c:v>
                </c:pt>
                <c:pt idx="88">
                  <c:v>2250</c:v>
                </c:pt>
                <c:pt idx="89">
                  <c:v>2250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04-4AD3-96BE-212822599B83}"/>
            </c:ext>
          </c:extLst>
        </c:ser>
        <c:ser>
          <c:idx val="1"/>
          <c:order val="1"/>
          <c:tx>
            <c:v>Class B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'Rate vs Par'!$B$12:$B$95</c:f>
              <c:numCache>
                <c:formatCode>General</c:formatCode>
                <c:ptCount val="84"/>
                <c:pt idx="0">
                  <c:v>56.9</c:v>
                </c:pt>
                <c:pt idx="1">
                  <c:v>55.9</c:v>
                </c:pt>
                <c:pt idx="2">
                  <c:v>55.9</c:v>
                </c:pt>
                <c:pt idx="3">
                  <c:v>49.2</c:v>
                </c:pt>
                <c:pt idx="4">
                  <c:v>47.7</c:v>
                </c:pt>
                <c:pt idx="5">
                  <c:v>45.8</c:v>
                </c:pt>
                <c:pt idx="6">
                  <c:v>69.2</c:v>
                </c:pt>
                <c:pt idx="7">
                  <c:v>65.900000000000006</c:v>
                </c:pt>
                <c:pt idx="8">
                  <c:v>63.3</c:v>
                </c:pt>
                <c:pt idx="9">
                  <c:v>61.5</c:v>
                </c:pt>
                <c:pt idx="10">
                  <c:v>60.1</c:v>
                </c:pt>
                <c:pt idx="11">
                  <c:v>59.6</c:v>
                </c:pt>
                <c:pt idx="12">
                  <c:v>59.6</c:v>
                </c:pt>
                <c:pt idx="13">
                  <c:v>57.6</c:v>
                </c:pt>
                <c:pt idx="14">
                  <c:v>56.4</c:v>
                </c:pt>
                <c:pt idx="15">
                  <c:v>54.8</c:v>
                </c:pt>
                <c:pt idx="16">
                  <c:v>54.7</c:v>
                </c:pt>
                <c:pt idx="17">
                  <c:v>53.6</c:v>
                </c:pt>
                <c:pt idx="18">
                  <c:v>53.3</c:v>
                </c:pt>
                <c:pt idx="19">
                  <c:v>52.6</c:v>
                </c:pt>
                <c:pt idx="20">
                  <c:v>52</c:v>
                </c:pt>
                <c:pt idx="21">
                  <c:v>45.7</c:v>
                </c:pt>
                <c:pt idx="22">
                  <c:v>68.3</c:v>
                </c:pt>
                <c:pt idx="23">
                  <c:v>67.900000000000006</c:v>
                </c:pt>
                <c:pt idx="24">
                  <c:v>66.7</c:v>
                </c:pt>
                <c:pt idx="25">
                  <c:v>65</c:v>
                </c:pt>
                <c:pt idx="26">
                  <c:v>63.7</c:v>
                </c:pt>
                <c:pt idx="27">
                  <c:v>63.5</c:v>
                </c:pt>
                <c:pt idx="28">
                  <c:v>60.4</c:v>
                </c:pt>
                <c:pt idx="29">
                  <c:v>56.8</c:v>
                </c:pt>
                <c:pt idx="30">
                  <c:v>55.9</c:v>
                </c:pt>
                <c:pt idx="31">
                  <c:v>55.3</c:v>
                </c:pt>
                <c:pt idx="32">
                  <c:v>55.3</c:v>
                </c:pt>
                <c:pt idx="33">
                  <c:v>55</c:v>
                </c:pt>
                <c:pt idx="34">
                  <c:v>54.9</c:v>
                </c:pt>
                <c:pt idx="35">
                  <c:v>53.9</c:v>
                </c:pt>
                <c:pt idx="36">
                  <c:v>51.2</c:v>
                </c:pt>
                <c:pt idx="37">
                  <c:v>47.9</c:v>
                </c:pt>
                <c:pt idx="38">
                  <c:v>67.099999999999994</c:v>
                </c:pt>
                <c:pt idx="39">
                  <c:v>64.2</c:v>
                </c:pt>
                <c:pt idx="40">
                  <c:v>63.8</c:v>
                </c:pt>
                <c:pt idx="41">
                  <c:v>63.6</c:v>
                </c:pt>
                <c:pt idx="42">
                  <c:v>61.3</c:v>
                </c:pt>
                <c:pt idx="43">
                  <c:v>60.8</c:v>
                </c:pt>
                <c:pt idx="44">
                  <c:v>59.3</c:v>
                </c:pt>
                <c:pt idx="45">
                  <c:v>59.1</c:v>
                </c:pt>
                <c:pt idx="46">
                  <c:v>57.6</c:v>
                </c:pt>
                <c:pt idx="47">
                  <c:v>55.9</c:v>
                </c:pt>
                <c:pt idx="48">
                  <c:v>53.4</c:v>
                </c:pt>
                <c:pt idx="49">
                  <c:v>53.1</c:v>
                </c:pt>
                <c:pt idx="50">
                  <c:v>53</c:v>
                </c:pt>
                <c:pt idx="51">
                  <c:v>52.9</c:v>
                </c:pt>
                <c:pt idx="52">
                  <c:v>52.1</c:v>
                </c:pt>
                <c:pt idx="53">
                  <c:v>46.1</c:v>
                </c:pt>
                <c:pt idx="54">
                  <c:v>65.3</c:v>
                </c:pt>
                <c:pt idx="55">
                  <c:v>65</c:v>
                </c:pt>
                <c:pt idx="56">
                  <c:v>64.099999999999994</c:v>
                </c:pt>
                <c:pt idx="57">
                  <c:v>60.6</c:v>
                </c:pt>
                <c:pt idx="58">
                  <c:v>60.1</c:v>
                </c:pt>
                <c:pt idx="59">
                  <c:v>59.9</c:v>
                </c:pt>
                <c:pt idx="60">
                  <c:v>59.5</c:v>
                </c:pt>
                <c:pt idx="61">
                  <c:v>58</c:v>
                </c:pt>
                <c:pt idx="62">
                  <c:v>57.4</c:v>
                </c:pt>
                <c:pt idx="63">
                  <c:v>57.2</c:v>
                </c:pt>
                <c:pt idx="64">
                  <c:v>56.3</c:v>
                </c:pt>
                <c:pt idx="65">
                  <c:v>56.2</c:v>
                </c:pt>
                <c:pt idx="66">
                  <c:v>51.1</c:v>
                </c:pt>
                <c:pt idx="67">
                  <c:v>50.8</c:v>
                </c:pt>
                <c:pt idx="68">
                  <c:v>49.9</c:v>
                </c:pt>
                <c:pt idx="69">
                  <c:v>44.4</c:v>
                </c:pt>
                <c:pt idx="70">
                  <c:v>65.8</c:v>
                </c:pt>
                <c:pt idx="71">
                  <c:v>63.6</c:v>
                </c:pt>
                <c:pt idx="72">
                  <c:v>63.6</c:v>
                </c:pt>
                <c:pt idx="73">
                  <c:v>63.3</c:v>
                </c:pt>
                <c:pt idx="74">
                  <c:v>60.4</c:v>
                </c:pt>
                <c:pt idx="75">
                  <c:v>60</c:v>
                </c:pt>
                <c:pt idx="76">
                  <c:v>58.5</c:v>
                </c:pt>
                <c:pt idx="77">
                  <c:v>57.9</c:v>
                </c:pt>
                <c:pt idx="78">
                  <c:v>57.8</c:v>
                </c:pt>
                <c:pt idx="79">
                  <c:v>57.6</c:v>
                </c:pt>
                <c:pt idx="80">
                  <c:v>56.8</c:v>
                </c:pt>
                <c:pt idx="81">
                  <c:v>49.9</c:v>
                </c:pt>
                <c:pt idx="82">
                  <c:v>48.9</c:v>
                </c:pt>
                <c:pt idx="83">
                  <c:v>48.9</c:v>
                </c:pt>
              </c:numCache>
            </c:numRef>
          </c:xVal>
          <c:yVal>
            <c:numRef>
              <c:f>'Rate vs Par'!$C$12:$C$95</c:f>
              <c:numCache>
                <c:formatCode>General</c:formatCode>
                <c:ptCount val="8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1000</c:v>
                </c:pt>
                <c:pt idx="5">
                  <c:v>1500</c:v>
                </c:pt>
                <c:pt idx="6">
                  <c:v>2250</c:v>
                </c:pt>
                <c:pt idx="7">
                  <c:v>2250</c:v>
                </c:pt>
                <c:pt idx="8">
                  <c:v>2250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2250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1000</c:v>
                </c:pt>
                <c:pt idx="22">
                  <c:v>2250</c:v>
                </c:pt>
                <c:pt idx="23">
                  <c:v>2250</c:v>
                </c:pt>
                <c:pt idx="24">
                  <c:v>2250</c:v>
                </c:pt>
                <c:pt idx="25">
                  <c:v>2250</c:v>
                </c:pt>
                <c:pt idx="26">
                  <c:v>2250</c:v>
                </c:pt>
                <c:pt idx="27">
                  <c:v>2250</c:v>
                </c:pt>
                <c:pt idx="28">
                  <c:v>2250</c:v>
                </c:pt>
                <c:pt idx="29">
                  <c:v>2000</c:v>
                </c:pt>
                <c:pt idx="30">
                  <c:v>2250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1000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2250</c:v>
                </c:pt>
                <c:pt idx="41">
                  <c:v>2250</c:v>
                </c:pt>
                <c:pt idx="42">
                  <c:v>2250</c:v>
                </c:pt>
                <c:pt idx="43">
                  <c:v>2250</c:v>
                </c:pt>
                <c:pt idx="44">
                  <c:v>2000</c:v>
                </c:pt>
                <c:pt idx="45">
                  <c:v>2250</c:v>
                </c:pt>
                <c:pt idx="46">
                  <c:v>2250</c:v>
                </c:pt>
                <c:pt idx="47">
                  <c:v>2250</c:v>
                </c:pt>
                <c:pt idx="48">
                  <c:v>1500</c:v>
                </c:pt>
                <c:pt idx="49">
                  <c:v>2250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1000</c:v>
                </c:pt>
                <c:pt idx="54">
                  <c:v>2250</c:v>
                </c:pt>
                <c:pt idx="55">
                  <c:v>2250</c:v>
                </c:pt>
                <c:pt idx="56">
                  <c:v>2000</c:v>
                </c:pt>
                <c:pt idx="57">
                  <c:v>2250</c:v>
                </c:pt>
                <c:pt idx="58">
                  <c:v>1500</c:v>
                </c:pt>
                <c:pt idx="59">
                  <c:v>2250</c:v>
                </c:pt>
                <c:pt idx="60">
                  <c:v>2250</c:v>
                </c:pt>
                <c:pt idx="61">
                  <c:v>1500</c:v>
                </c:pt>
                <c:pt idx="62">
                  <c:v>1500</c:v>
                </c:pt>
                <c:pt idx="63">
                  <c:v>2250</c:v>
                </c:pt>
                <c:pt idx="64">
                  <c:v>1500</c:v>
                </c:pt>
                <c:pt idx="65">
                  <c:v>2250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1000</c:v>
                </c:pt>
                <c:pt idx="70">
                  <c:v>2250</c:v>
                </c:pt>
                <c:pt idx="71">
                  <c:v>2250</c:v>
                </c:pt>
                <c:pt idx="72">
                  <c:v>1500</c:v>
                </c:pt>
                <c:pt idx="73">
                  <c:v>2000</c:v>
                </c:pt>
                <c:pt idx="74">
                  <c:v>1500</c:v>
                </c:pt>
                <c:pt idx="75">
                  <c:v>2250</c:v>
                </c:pt>
                <c:pt idx="76">
                  <c:v>1500</c:v>
                </c:pt>
                <c:pt idx="77">
                  <c:v>2250</c:v>
                </c:pt>
                <c:pt idx="78">
                  <c:v>2250</c:v>
                </c:pt>
                <c:pt idx="79">
                  <c:v>2250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04-4AD3-96BE-212822599B83}"/>
            </c:ext>
          </c:extLst>
        </c:ser>
        <c:ser>
          <c:idx val="2"/>
          <c:order val="2"/>
          <c:tx>
            <c:v>Class C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'Rate vs Par'!$B$15:$B$97</c:f>
              <c:numCache>
                <c:formatCode>General</c:formatCode>
                <c:ptCount val="83"/>
                <c:pt idx="0">
                  <c:v>49.2</c:v>
                </c:pt>
                <c:pt idx="1">
                  <c:v>47.7</c:v>
                </c:pt>
                <c:pt idx="2">
                  <c:v>45.8</c:v>
                </c:pt>
                <c:pt idx="3">
                  <c:v>69.2</c:v>
                </c:pt>
                <c:pt idx="4">
                  <c:v>65.900000000000006</c:v>
                </c:pt>
                <c:pt idx="5">
                  <c:v>63.3</c:v>
                </c:pt>
                <c:pt idx="6">
                  <c:v>61.5</c:v>
                </c:pt>
                <c:pt idx="7">
                  <c:v>60.1</c:v>
                </c:pt>
                <c:pt idx="8">
                  <c:v>59.6</c:v>
                </c:pt>
                <c:pt idx="9">
                  <c:v>59.6</c:v>
                </c:pt>
                <c:pt idx="10">
                  <c:v>57.6</c:v>
                </c:pt>
                <c:pt idx="11">
                  <c:v>56.4</c:v>
                </c:pt>
                <c:pt idx="12">
                  <c:v>54.8</c:v>
                </c:pt>
                <c:pt idx="13">
                  <c:v>54.7</c:v>
                </c:pt>
                <c:pt idx="14">
                  <c:v>53.6</c:v>
                </c:pt>
                <c:pt idx="15">
                  <c:v>53.3</c:v>
                </c:pt>
                <c:pt idx="16">
                  <c:v>52.6</c:v>
                </c:pt>
                <c:pt idx="17">
                  <c:v>52</c:v>
                </c:pt>
                <c:pt idx="18">
                  <c:v>45.7</c:v>
                </c:pt>
                <c:pt idx="19">
                  <c:v>68.3</c:v>
                </c:pt>
                <c:pt idx="20">
                  <c:v>67.900000000000006</c:v>
                </c:pt>
                <c:pt idx="21">
                  <c:v>66.7</c:v>
                </c:pt>
                <c:pt idx="22">
                  <c:v>65</c:v>
                </c:pt>
                <c:pt idx="23">
                  <c:v>63.7</c:v>
                </c:pt>
                <c:pt idx="24">
                  <c:v>63.5</c:v>
                </c:pt>
                <c:pt idx="25">
                  <c:v>60.4</c:v>
                </c:pt>
                <c:pt idx="26">
                  <c:v>56.8</c:v>
                </c:pt>
                <c:pt idx="27">
                  <c:v>55.9</c:v>
                </c:pt>
                <c:pt idx="28">
                  <c:v>55.3</c:v>
                </c:pt>
                <c:pt idx="29">
                  <c:v>55.3</c:v>
                </c:pt>
                <c:pt idx="30">
                  <c:v>55</c:v>
                </c:pt>
                <c:pt idx="31">
                  <c:v>54.9</c:v>
                </c:pt>
                <c:pt idx="32">
                  <c:v>53.9</c:v>
                </c:pt>
                <c:pt idx="33">
                  <c:v>51.2</c:v>
                </c:pt>
                <c:pt idx="34">
                  <c:v>47.9</c:v>
                </c:pt>
                <c:pt idx="35">
                  <c:v>67.099999999999994</c:v>
                </c:pt>
                <c:pt idx="36">
                  <c:v>64.2</c:v>
                </c:pt>
                <c:pt idx="37">
                  <c:v>63.8</c:v>
                </c:pt>
                <c:pt idx="38">
                  <c:v>63.6</c:v>
                </c:pt>
                <c:pt idx="39">
                  <c:v>61.3</c:v>
                </c:pt>
                <c:pt idx="40">
                  <c:v>60.8</c:v>
                </c:pt>
                <c:pt idx="41">
                  <c:v>59.3</c:v>
                </c:pt>
                <c:pt idx="42">
                  <c:v>59.1</c:v>
                </c:pt>
                <c:pt idx="43">
                  <c:v>57.6</c:v>
                </c:pt>
                <c:pt idx="44">
                  <c:v>55.9</c:v>
                </c:pt>
                <c:pt idx="45">
                  <c:v>53.4</c:v>
                </c:pt>
                <c:pt idx="46">
                  <c:v>53.1</c:v>
                </c:pt>
                <c:pt idx="47">
                  <c:v>53</c:v>
                </c:pt>
                <c:pt idx="48">
                  <c:v>52.9</c:v>
                </c:pt>
                <c:pt idx="49">
                  <c:v>52.1</c:v>
                </c:pt>
                <c:pt idx="50">
                  <c:v>46.1</c:v>
                </c:pt>
                <c:pt idx="51">
                  <c:v>65.3</c:v>
                </c:pt>
                <c:pt idx="52">
                  <c:v>65</c:v>
                </c:pt>
                <c:pt idx="53">
                  <c:v>64.099999999999994</c:v>
                </c:pt>
                <c:pt idx="54">
                  <c:v>60.6</c:v>
                </c:pt>
                <c:pt idx="55">
                  <c:v>60.1</c:v>
                </c:pt>
                <c:pt idx="56">
                  <c:v>59.9</c:v>
                </c:pt>
                <c:pt idx="57">
                  <c:v>59.5</c:v>
                </c:pt>
                <c:pt idx="58">
                  <c:v>58</c:v>
                </c:pt>
                <c:pt idx="59">
                  <c:v>57.4</c:v>
                </c:pt>
                <c:pt idx="60">
                  <c:v>57.2</c:v>
                </c:pt>
                <c:pt idx="61">
                  <c:v>56.3</c:v>
                </c:pt>
                <c:pt idx="62">
                  <c:v>56.2</c:v>
                </c:pt>
                <c:pt idx="63">
                  <c:v>51.1</c:v>
                </c:pt>
                <c:pt idx="64">
                  <c:v>50.8</c:v>
                </c:pt>
                <c:pt idx="65">
                  <c:v>49.9</c:v>
                </c:pt>
                <c:pt idx="66">
                  <c:v>44.4</c:v>
                </c:pt>
                <c:pt idx="67">
                  <c:v>65.8</c:v>
                </c:pt>
                <c:pt idx="68">
                  <c:v>63.6</c:v>
                </c:pt>
                <c:pt idx="69">
                  <c:v>63.6</c:v>
                </c:pt>
                <c:pt idx="70">
                  <c:v>63.3</c:v>
                </c:pt>
                <c:pt idx="71">
                  <c:v>60.4</c:v>
                </c:pt>
                <c:pt idx="72">
                  <c:v>60</c:v>
                </c:pt>
                <c:pt idx="73">
                  <c:v>58.5</c:v>
                </c:pt>
                <c:pt idx="74">
                  <c:v>57.9</c:v>
                </c:pt>
                <c:pt idx="75">
                  <c:v>57.8</c:v>
                </c:pt>
                <c:pt idx="76">
                  <c:v>57.6</c:v>
                </c:pt>
                <c:pt idx="77">
                  <c:v>56.8</c:v>
                </c:pt>
                <c:pt idx="78">
                  <c:v>49.9</c:v>
                </c:pt>
                <c:pt idx="79">
                  <c:v>48.9</c:v>
                </c:pt>
                <c:pt idx="80">
                  <c:v>48.9</c:v>
                </c:pt>
                <c:pt idx="81">
                  <c:v>48.1</c:v>
                </c:pt>
                <c:pt idx="82">
                  <c:v>46.8</c:v>
                </c:pt>
              </c:numCache>
            </c:numRef>
          </c:xVal>
          <c:yVal>
            <c:numRef>
              <c:f>'Rate vs Par'!$C$15:$C$97</c:f>
              <c:numCache>
                <c:formatCode>General</c:formatCode>
                <c:ptCount val="83"/>
                <c:pt idx="0">
                  <c:v>1500</c:v>
                </c:pt>
                <c:pt idx="1">
                  <c:v>1000</c:v>
                </c:pt>
                <c:pt idx="2">
                  <c:v>1500</c:v>
                </c:pt>
                <c:pt idx="3">
                  <c:v>2250</c:v>
                </c:pt>
                <c:pt idx="4">
                  <c:v>2250</c:v>
                </c:pt>
                <c:pt idx="5">
                  <c:v>2250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2250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1000</c:v>
                </c:pt>
                <c:pt idx="19">
                  <c:v>2250</c:v>
                </c:pt>
                <c:pt idx="20">
                  <c:v>2250</c:v>
                </c:pt>
                <c:pt idx="21">
                  <c:v>2250</c:v>
                </c:pt>
                <c:pt idx="22">
                  <c:v>2250</c:v>
                </c:pt>
                <c:pt idx="23">
                  <c:v>2250</c:v>
                </c:pt>
                <c:pt idx="24">
                  <c:v>2250</c:v>
                </c:pt>
                <c:pt idx="25">
                  <c:v>2250</c:v>
                </c:pt>
                <c:pt idx="26">
                  <c:v>2000</c:v>
                </c:pt>
                <c:pt idx="27">
                  <c:v>2250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1000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2250</c:v>
                </c:pt>
                <c:pt idx="38">
                  <c:v>2250</c:v>
                </c:pt>
                <c:pt idx="39">
                  <c:v>2250</c:v>
                </c:pt>
                <c:pt idx="40">
                  <c:v>2250</c:v>
                </c:pt>
                <c:pt idx="41">
                  <c:v>2000</c:v>
                </c:pt>
                <c:pt idx="42">
                  <c:v>2250</c:v>
                </c:pt>
                <c:pt idx="43">
                  <c:v>2250</c:v>
                </c:pt>
                <c:pt idx="44">
                  <c:v>2250</c:v>
                </c:pt>
                <c:pt idx="45">
                  <c:v>1500</c:v>
                </c:pt>
                <c:pt idx="46">
                  <c:v>2250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1000</c:v>
                </c:pt>
                <c:pt idx="51">
                  <c:v>2250</c:v>
                </c:pt>
                <c:pt idx="52">
                  <c:v>2250</c:v>
                </c:pt>
                <c:pt idx="53">
                  <c:v>2000</c:v>
                </c:pt>
                <c:pt idx="54">
                  <c:v>2250</c:v>
                </c:pt>
                <c:pt idx="55">
                  <c:v>1500</c:v>
                </c:pt>
                <c:pt idx="56">
                  <c:v>2250</c:v>
                </c:pt>
                <c:pt idx="57">
                  <c:v>2250</c:v>
                </c:pt>
                <c:pt idx="58">
                  <c:v>1500</c:v>
                </c:pt>
                <c:pt idx="59">
                  <c:v>1500</c:v>
                </c:pt>
                <c:pt idx="60">
                  <c:v>2250</c:v>
                </c:pt>
                <c:pt idx="61">
                  <c:v>1500</c:v>
                </c:pt>
                <c:pt idx="62">
                  <c:v>2250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1000</c:v>
                </c:pt>
                <c:pt idx="67">
                  <c:v>2250</c:v>
                </c:pt>
                <c:pt idx="68">
                  <c:v>2250</c:v>
                </c:pt>
                <c:pt idx="69">
                  <c:v>1500</c:v>
                </c:pt>
                <c:pt idx="70">
                  <c:v>2000</c:v>
                </c:pt>
                <c:pt idx="71">
                  <c:v>1500</c:v>
                </c:pt>
                <c:pt idx="72">
                  <c:v>2250</c:v>
                </c:pt>
                <c:pt idx="73">
                  <c:v>1500</c:v>
                </c:pt>
                <c:pt idx="74">
                  <c:v>2250</c:v>
                </c:pt>
                <c:pt idx="75">
                  <c:v>2250</c:v>
                </c:pt>
                <c:pt idx="76">
                  <c:v>2250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1000</c:v>
                </c:pt>
                <c:pt idx="82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04-4AD3-96BE-21282259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4626"/>
        <c:axId val="60078548"/>
      </c:scatterChart>
      <c:valAx>
        <c:axId val="198646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Forecast rate (ml/day)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078548"/>
        <c:crosses val="autoZero"/>
        <c:crossBetween val="midCat"/>
      </c:valAx>
      <c:valAx>
        <c:axId val="60078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Par level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462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10</xdr:col>
      <xdr:colOff>542160</xdr:colOff>
      <xdr:row>16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10</xdr:col>
      <xdr:colOff>542160</xdr:colOff>
      <xdr:row>33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18</xdr:row>
      <xdr:rowOff>1080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27</xdr:row>
      <xdr:rowOff>86400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23</xdr:row>
      <xdr:rowOff>128520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Levels" displayName="ParLevels" ref="A1:J97" totalsRowShown="0">
  <autoFilter ref="A1:J97" xr:uid="{00000000-0009-0000-0100-000001000000}"/>
  <tableColumns count="10">
    <tableColumn id="1" xr3:uid="{00000000-0010-0000-0000-000001000000}" name="bar" dataDxfId="0"/>
    <tableColumn id="2" xr3:uid="{00000000-0010-0000-0000-000002000000}" name="brand"/>
    <tableColumn id="3" xr3:uid="{00000000-0010-0000-0000-000003000000}" name="alcohol_type"/>
    <tableColumn id="4" xr3:uid="{00000000-0010-0000-0000-000004000000}" name="abc"/>
    <tableColumn id="5" xr3:uid="{00000000-0010-0000-0000-000005000000}" name="service_level"/>
    <tableColumn id="6" xr3:uid="{00000000-0010-0000-0000-000006000000}" name="forecast_ml_per_day"/>
    <tableColumn id="7" xr3:uid="{00000000-0010-0000-0000-000007000000}" name="par_ml"/>
    <tableColumn id="8" xr3:uid="{00000000-0010-0000-0000-000008000000}" name="par_bottles"/>
    <tableColumn id="9" xr3:uid="{00000000-0010-0000-0000-000009000000}" name="reorder_point_ml"/>
    <tableColumn id="10" xr3:uid="{00000000-0010-0000-0000-00000A000000}" name="days_of_cov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zoomScaleNormal="100" workbookViewId="0">
      <selection activeCell="F10" sqref="F10"/>
    </sheetView>
  </sheetViews>
  <sheetFormatPr defaultColWidth="8.6640625" defaultRowHeight="14.4" x14ac:dyDescent="0.3"/>
  <cols>
    <col min="1" max="1" width="18" customWidth="1"/>
    <col min="2" max="2" width="18.6640625" customWidth="1"/>
    <col min="3" max="3" width="18.77734375" customWidth="1"/>
    <col min="4" max="4" width="14" customWidth="1"/>
    <col min="5" max="5" width="19.6640625" customWidth="1"/>
    <col min="6" max="6" width="27.109375" customWidth="1"/>
    <col min="7" max="7" width="14" customWidth="1"/>
    <col min="8" max="8" width="17.44140625" customWidth="1"/>
    <col min="9" max="9" width="22.6640625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0.98</v>
      </c>
      <c r="F2" s="2">
        <v>67.900000000000006</v>
      </c>
      <c r="G2" s="2">
        <v>2250</v>
      </c>
      <c r="H2" s="2">
        <v>3</v>
      </c>
      <c r="I2" s="2">
        <v>1306</v>
      </c>
      <c r="J2" s="2">
        <v>33.1</v>
      </c>
    </row>
    <row r="3" spans="1:10" x14ac:dyDescent="0.3">
      <c r="A3" s="2" t="s">
        <v>10</v>
      </c>
      <c r="B3" s="2" t="s">
        <v>14</v>
      </c>
      <c r="C3" s="2" t="s">
        <v>15</v>
      </c>
      <c r="D3" s="2" t="s">
        <v>13</v>
      </c>
      <c r="E3" s="2">
        <v>0.98</v>
      </c>
      <c r="F3" s="2">
        <v>66.2</v>
      </c>
      <c r="G3" s="2">
        <v>2250</v>
      </c>
      <c r="H3" s="2">
        <v>3</v>
      </c>
      <c r="I3" s="2">
        <v>1547</v>
      </c>
      <c r="J3" s="2">
        <v>34</v>
      </c>
    </row>
    <row r="4" spans="1:10" x14ac:dyDescent="0.3">
      <c r="A4" s="2" t="s">
        <v>10</v>
      </c>
      <c r="B4" s="2" t="s">
        <v>16</v>
      </c>
      <c r="C4" s="2" t="s">
        <v>17</v>
      </c>
      <c r="D4" s="2" t="s">
        <v>13</v>
      </c>
      <c r="E4" s="2">
        <v>0.98</v>
      </c>
      <c r="F4" s="2">
        <v>65.2</v>
      </c>
      <c r="G4" s="2">
        <v>2250</v>
      </c>
      <c r="H4" s="2">
        <v>3</v>
      </c>
      <c r="I4" s="2">
        <v>1293</v>
      </c>
      <c r="J4" s="2">
        <v>34.5</v>
      </c>
    </row>
    <row r="5" spans="1:10" x14ac:dyDescent="0.3">
      <c r="A5" s="2" t="s">
        <v>10</v>
      </c>
      <c r="B5" s="2" t="s">
        <v>18</v>
      </c>
      <c r="C5" s="2" t="s">
        <v>12</v>
      </c>
      <c r="D5" s="2" t="s">
        <v>13</v>
      </c>
      <c r="E5" s="2">
        <v>0.98</v>
      </c>
      <c r="F5" s="2">
        <v>64.5</v>
      </c>
      <c r="G5" s="2">
        <v>2250</v>
      </c>
      <c r="H5" s="2">
        <v>3</v>
      </c>
      <c r="I5" s="2">
        <v>1599</v>
      </c>
      <c r="J5" s="2">
        <v>34.9</v>
      </c>
    </row>
    <row r="6" spans="1:10" x14ac:dyDescent="0.3">
      <c r="A6" s="2" t="s">
        <v>10</v>
      </c>
      <c r="B6" s="2" t="s">
        <v>19</v>
      </c>
      <c r="C6" s="2" t="s">
        <v>20</v>
      </c>
      <c r="D6" s="2" t="s">
        <v>13</v>
      </c>
      <c r="E6" s="2">
        <v>0.98</v>
      </c>
      <c r="F6" s="2">
        <v>63.4</v>
      </c>
      <c r="G6" s="2">
        <v>2250</v>
      </c>
      <c r="H6" s="2">
        <v>3</v>
      </c>
      <c r="I6" s="2">
        <v>1506</v>
      </c>
      <c r="J6" s="2">
        <v>35.5</v>
      </c>
    </row>
    <row r="7" spans="1:10" x14ac:dyDescent="0.3">
      <c r="A7" s="2" t="s">
        <v>10</v>
      </c>
      <c r="B7" s="2" t="s">
        <v>21</v>
      </c>
      <c r="C7" s="2" t="s">
        <v>20</v>
      </c>
      <c r="D7" s="2" t="s">
        <v>13</v>
      </c>
      <c r="E7" s="2">
        <v>0.98</v>
      </c>
      <c r="F7" s="2">
        <v>62.7</v>
      </c>
      <c r="G7" s="2">
        <v>2250</v>
      </c>
      <c r="H7" s="2">
        <v>3</v>
      </c>
      <c r="I7" s="2">
        <v>1786</v>
      </c>
      <c r="J7" s="2">
        <v>35.9</v>
      </c>
    </row>
    <row r="8" spans="1:10" x14ac:dyDescent="0.3">
      <c r="A8" s="2" t="s">
        <v>10</v>
      </c>
      <c r="B8" s="2" t="s">
        <v>22</v>
      </c>
      <c r="C8" s="2" t="s">
        <v>17</v>
      </c>
      <c r="D8" s="2" t="s">
        <v>13</v>
      </c>
      <c r="E8" s="2">
        <v>0.98</v>
      </c>
      <c r="F8" s="2">
        <v>61.3</v>
      </c>
      <c r="G8" s="2">
        <v>2250</v>
      </c>
      <c r="H8" s="2">
        <v>3</v>
      </c>
      <c r="I8" s="2">
        <v>1138</v>
      </c>
      <c r="J8" s="2">
        <v>36.700000000000003</v>
      </c>
    </row>
    <row r="9" spans="1:10" x14ac:dyDescent="0.3">
      <c r="A9" s="2" t="s">
        <v>10</v>
      </c>
      <c r="B9" s="2" t="s">
        <v>23</v>
      </c>
      <c r="C9" s="2" t="s">
        <v>15</v>
      </c>
      <c r="D9" s="2" t="s">
        <v>13</v>
      </c>
      <c r="E9" s="2">
        <v>0.98</v>
      </c>
      <c r="F9" s="2">
        <v>60.8</v>
      </c>
      <c r="G9" s="2">
        <v>2250</v>
      </c>
      <c r="H9" s="2">
        <v>3</v>
      </c>
      <c r="I9" s="2">
        <v>1473</v>
      </c>
      <c r="J9" s="2">
        <v>37</v>
      </c>
    </row>
    <row r="10" spans="1:10" x14ac:dyDescent="0.3">
      <c r="A10" s="2" t="s">
        <v>10</v>
      </c>
      <c r="B10" s="2" t="s">
        <v>24</v>
      </c>
      <c r="C10" s="2" t="s">
        <v>25</v>
      </c>
      <c r="D10" s="2" t="s">
        <v>13</v>
      </c>
      <c r="E10" s="2">
        <v>0.98</v>
      </c>
      <c r="F10" s="2">
        <v>60.5</v>
      </c>
      <c r="G10" s="2">
        <v>2000</v>
      </c>
      <c r="H10" s="2">
        <v>4</v>
      </c>
      <c r="I10" s="2">
        <v>1425</v>
      </c>
      <c r="J10" s="2">
        <v>33.1</v>
      </c>
    </row>
    <row r="11" spans="1:10" x14ac:dyDescent="0.3">
      <c r="A11" s="2" t="s">
        <v>10</v>
      </c>
      <c r="B11" s="2" t="s">
        <v>26</v>
      </c>
      <c r="C11" s="2" t="s">
        <v>15</v>
      </c>
      <c r="D11" s="2" t="s">
        <v>13</v>
      </c>
      <c r="E11" s="2">
        <v>0.98</v>
      </c>
      <c r="F11" s="2">
        <v>59.8</v>
      </c>
      <c r="G11" s="2">
        <v>2250</v>
      </c>
      <c r="H11" s="2">
        <v>3</v>
      </c>
      <c r="I11" s="2">
        <v>1088</v>
      </c>
      <c r="J11" s="2">
        <v>37.6</v>
      </c>
    </row>
    <row r="12" spans="1:10" x14ac:dyDescent="0.3">
      <c r="A12" s="2" t="s">
        <v>10</v>
      </c>
      <c r="B12" s="2" t="s">
        <v>27</v>
      </c>
      <c r="C12" s="2" t="s">
        <v>20</v>
      </c>
      <c r="D12" s="2" t="s">
        <v>28</v>
      </c>
      <c r="E12" s="2">
        <v>0.95</v>
      </c>
      <c r="F12" s="2">
        <v>56.9</v>
      </c>
      <c r="G12" s="2">
        <v>1500</v>
      </c>
      <c r="H12" s="2">
        <v>2</v>
      </c>
      <c r="I12" s="2">
        <v>976</v>
      </c>
      <c r="J12" s="2">
        <v>26.4</v>
      </c>
    </row>
    <row r="13" spans="1:10" x14ac:dyDescent="0.3">
      <c r="A13" s="2" t="s">
        <v>10</v>
      </c>
      <c r="B13" s="2" t="s">
        <v>29</v>
      </c>
      <c r="C13" s="2" t="s">
        <v>25</v>
      </c>
      <c r="D13" s="2" t="s">
        <v>28</v>
      </c>
      <c r="E13" s="2">
        <v>0.95</v>
      </c>
      <c r="F13" s="2">
        <v>55.9</v>
      </c>
      <c r="G13" s="2">
        <v>1500</v>
      </c>
      <c r="H13" s="2">
        <v>3</v>
      </c>
      <c r="I13" s="2">
        <v>802</v>
      </c>
      <c r="J13" s="2">
        <v>26.8</v>
      </c>
    </row>
    <row r="14" spans="1:10" x14ac:dyDescent="0.3">
      <c r="A14" s="2" t="s">
        <v>10</v>
      </c>
      <c r="B14" s="2" t="s">
        <v>30</v>
      </c>
      <c r="C14" s="2" t="s">
        <v>25</v>
      </c>
      <c r="D14" s="2" t="s">
        <v>28</v>
      </c>
      <c r="E14" s="2">
        <v>0.95</v>
      </c>
      <c r="F14" s="2">
        <v>55.9</v>
      </c>
      <c r="G14" s="2">
        <v>1500</v>
      </c>
      <c r="H14" s="2">
        <v>3</v>
      </c>
      <c r="I14" s="2">
        <v>862</v>
      </c>
      <c r="J14" s="2">
        <v>26.9</v>
      </c>
    </row>
    <row r="15" spans="1:10" x14ac:dyDescent="0.3">
      <c r="A15" s="2" t="s">
        <v>10</v>
      </c>
      <c r="B15" s="2" t="s">
        <v>31</v>
      </c>
      <c r="C15" s="2" t="s">
        <v>12</v>
      </c>
      <c r="D15" s="2" t="s">
        <v>32</v>
      </c>
      <c r="E15" s="2">
        <v>0.9</v>
      </c>
      <c r="F15" s="2">
        <v>49.2</v>
      </c>
      <c r="G15" s="2">
        <v>1500</v>
      </c>
      <c r="H15" s="2">
        <v>2</v>
      </c>
      <c r="I15" s="2">
        <v>738</v>
      </c>
      <c r="J15" s="2">
        <v>30.5</v>
      </c>
    </row>
    <row r="16" spans="1:10" x14ac:dyDescent="0.3">
      <c r="A16" s="2" t="s">
        <v>10</v>
      </c>
      <c r="B16" s="2" t="s">
        <v>33</v>
      </c>
      <c r="C16" s="2" t="s">
        <v>25</v>
      </c>
      <c r="D16" s="2" t="s">
        <v>32</v>
      </c>
      <c r="E16" s="2">
        <v>0.9</v>
      </c>
      <c r="F16" s="2">
        <v>47.7</v>
      </c>
      <c r="G16" s="2">
        <v>1000</v>
      </c>
      <c r="H16" s="2">
        <v>2</v>
      </c>
      <c r="I16" s="2">
        <v>641</v>
      </c>
      <c r="J16" s="2">
        <v>21</v>
      </c>
    </row>
    <row r="17" spans="1:10" x14ac:dyDescent="0.3">
      <c r="A17" s="2" t="s">
        <v>10</v>
      </c>
      <c r="B17" s="2" t="s">
        <v>34</v>
      </c>
      <c r="C17" s="2" t="s">
        <v>17</v>
      </c>
      <c r="D17" s="2" t="s">
        <v>32</v>
      </c>
      <c r="E17" s="2">
        <v>0.9</v>
      </c>
      <c r="F17" s="2">
        <v>45.8</v>
      </c>
      <c r="G17" s="2">
        <v>1500</v>
      </c>
      <c r="H17" s="2">
        <v>2</v>
      </c>
      <c r="I17" s="2">
        <v>700</v>
      </c>
      <c r="J17" s="2">
        <v>32.799999999999997</v>
      </c>
    </row>
    <row r="18" spans="1:10" x14ac:dyDescent="0.3">
      <c r="A18" s="2" t="s">
        <v>35</v>
      </c>
      <c r="B18" s="2" t="s">
        <v>26</v>
      </c>
      <c r="C18" s="2" t="s">
        <v>15</v>
      </c>
      <c r="D18" s="2" t="s">
        <v>13</v>
      </c>
      <c r="E18" s="2">
        <v>0.98</v>
      </c>
      <c r="F18" s="2">
        <v>69.2</v>
      </c>
      <c r="G18" s="2">
        <v>2250</v>
      </c>
      <c r="H18" s="2">
        <v>3</v>
      </c>
      <c r="I18" s="2">
        <v>1036</v>
      </c>
      <c r="J18" s="2">
        <v>32.5</v>
      </c>
    </row>
    <row r="19" spans="1:10" x14ac:dyDescent="0.3">
      <c r="A19" s="2" t="s">
        <v>35</v>
      </c>
      <c r="B19" s="2" t="s">
        <v>16</v>
      </c>
      <c r="C19" s="2" t="s">
        <v>17</v>
      </c>
      <c r="D19" s="2" t="s">
        <v>13</v>
      </c>
      <c r="E19" s="2">
        <v>0.98</v>
      </c>
      <c r="F19" s="2">
        <v>65.900000000000006</v>
      </c>
      <c r="G19" s="2">
        <v>2250</v>
      </c>
      <c r="H19" s="2">
        <v>3</v>
      </c>
      <c r="I19" s="2">
        <v>1241</v>
      </c>
      <c r="J19" s="2">
        <v>34.1</v>
      </c>
    </row>
    <row r="20" spans="1:10" x14ac:dyDescent="0.3">
      <c r="A20" s="2" t="s">
        <v>35</v>
      </c>
      <c r="B20" s="2" t="s">
        <v>27</v>
      </c>
      <c r="C20" s="2" t="s">
        <v>20</v>
      </c>
      <c r="D20" s="2" t="s">
        <v>13</v>
      </c>
      <c r="E20" s="2">
        <v>0.98</v>
      </c>
      <c r="F20" s="2">
        <v>63.3</v>
      </c>
      <c r="G20" s="2">
        <v>2250</v>
      </c>
      <c r="H20" s="2">
        <v>3</v>
      </c>
      <c r="I20" s="2">
        <v>1383</v>
      </c>
      <c r="J20" s="2">
        <v>35.5</v>
      </c>
    </row>
    <row r="21" spans="1:10" x14ac:dyDescent="0.3">
      <c r="A21" s="2" t="s">
        <v>35</v>
      </c>
      <c r="B21" s="2" t="s">
        <v>23</v>
      </c>
      <c r="C21" s="2" t="s">
        <v>15</v>
      </c>
      <c r="D21" s="2" t="s">
        <v>13</v>
      </c>
      <c r="E21" s="2">
        <v>0.98</v>
      </c>
      <c r="F21" s="2">
        <v>61.5</v>
      </c>
      <c r="G21" s="2">
        <v>1500</v>
      </c>
      <c r="H21" s="2">
        <v>2</v>
      </c>
      <c r="I21" s="2">
        <v>1036</v>
      </c>
      <c r="J21" s="2">
        <v>24.4</v>
      </c>
    </row>
    <row r="22" spans="1:10" x14ac:dyDescent="0.3">
      <c r="A22" s="2" t="s">
        <v>35</v>
      </c>
      <c r="B22" s="2" t="s">
        <v>19</v>
      </c>
      <c r="C22" s="2" t="s">
        <v>20</v>
      </c>
      <c r="D22" s="2" t="s">
        <v>13</v>
      </c>
      <c r="E22" s="2">
        <v>0.98</v>
      </c>
      <c r="F22" s="2">
        <v>60.1</v>
      </c>
      <c r="G22" s="2">
        <v>1500</v>
      </c>
      <c r="H22" s="2">
        <v>2</v>
      </c>
      <c r="I22" s="2">
        <v>1036</v>
      </c>
      <c r="J22" s="2">
        <v>25</v>
      </c>
    </row>
    <row r="23" spans="1:10" x14ac:dyDescent="0.3">
      <c r="A23" s="2" t="s">
        <v>35</v>
      </c>
      <c r="B23" s="2" t="s">
        <v>21</v>
      </c>
      <c r="C23" s="2" t="s">
        <v>20</v>
      </c>
      <c r="D23" s="2" t="s">
        <v>13</v>
      </c>
      <c r="E23" s="2">
        <v>0.98</v>
      </c>
      <c r="F23" s="2">
        <v>59.6</v>
      </c>
      <c r="G23" s="2">
        <v>1500</v>
      </c>
      <c r="H23" s="2">
        <v>2</v>
      </c>
      <c r="I23" s="2">
        <v>967</v>
      </c>
      <c r="J23" s="2">
        <v>25.2</v>
      </c>
    </row>
    <row r="24" spans="1:10" x14ac:dyDescent="0.3">
      <c r="A24" s="2" t="s">
        <v>35</v>
      </c>
      <c r="B24" s="2" t="s">
        <v>11</v>
      </c>
      <c r="C24" s="2" t="s">
        <v>12</v>
      </c>
      <c r="D24" s="2" t="s">
        <v>13</v>
      </c>
      <c r="E24" s="2">
        <v>0.98</v>
      </c>
      <c r="F24" s="2">
        <v>59.6</v>
      </c>
      <c r="G24" s="2">
        <v>1500</v>
      </c>
      <c r="H24" s="2">
        <v>2</v>
      </c>
      <c r="I24" s="2">
        <v>998</v>
      </c>
      <c r="J24" s="2">
        <v>25.2</v>
      </c>
    </row>
    <row r="25" spans="1:10" x14ac:dyDescent="0.3">
      <c r="A25" s="2" t="s">
        <v>35</v>
      </c>
      <c r="B25" s="2" t="s">
        <v>29</v>
      </c>
      <c r="C25" s="2" t="s">
        <v>25</v>
      </c>
      <c r="D25" s="2" t="s">
        <v>13</v>
      </c>
      <c r="E25" s="2">
        <v>0.98</v>
      </c>
      <c r="F25" s="2">
        <v>57.6</v>
      </c>
      <c r="G25" s="2">
        <v>1500</v>
      </c>
      <c r="H25" s="2">
        <v>3</v>
      </c>
      <c r="I25" s="2">
        <v>857</v>
      </c>
      <c r="J25" s="2">
        <v>26.1</v>
      </c>
    </row>
    <row r="26" spans="1:10" x14ac:dyDescent="0.3">
      <c r="A26" s="2" t="s">
        <v>35</v>
      </c>
      <c r="B26" s="2" t="s">
        <v>18</v>
      </c>
      <c r="C26" s="2" t="s">
        <v>12</v>
      </c>
      <c r="D26" s="2" t="s">
        <v>13</v>
      </c>
      <c r="E26" s="2">
        <v>0.98</v>
      </c>
      <c r="F26" s="2">
        <v>56.4</v>
      </c>
      <c r="G26" s="2">
        <v>2250</v>
      </c>
      <c r="H26" s="2">
        <v>3</v>
      </c>
      <c r="I26" s="2">
        <v>1134</v>
      </c>
      <c r="J26" s="2">
        <v>39.9</v>
      </c>
    </row>
    <row r="27" spans="1:10" x14ac:dyDescent="0.3">
      <c r="A27" s="2" t="s">
        <v>35</v>
      </c>
      <c r="B27" s="2" t="s">
        <v>14</v>
      </c>
      <c r="C27" s="2" t="s">
        <v>15</v>
      </c>
      <c r="D27" s="2" t="s">
        <v>13</v>
      </c>
      <c r="E27" s="2">
        <v>0.98</v>
      </c>
      <c r="F27" s="2">
        <v>54.8</v>
      </c>
      <c r="G27" s="2">
        <v>1500</v>
      </c>
      <c r="H27" s="2">
        <v>2</v>
      </c>
      <c r="I27" s="2">
        <v>931</v>
      </c>
      <c r="J27" s="2">
        <v>27.4</v>
      </c>
    </row>
    <row r="28" spans="1:10" x14ac:dyDescent="0.3">
      <c r="A28" s="2" t="s">
        <v>35</v>
      </c>
      <c r="B28" s="2" t="s">
        <v>34</v>
      </c>
      <c r="C28" s="2" t="s">
        <v>17</v>
      </c>
      <c r="D28" s="2" t="s">
        <v>28</v>
      </c>
      <c r="E28" s="2">
        <v>0.95</v>
      </c>
      <c r="F28" s="2">
        <v>54.7</v>
      </c>
      <c r="G28" s="2">
        <v>1500</v>
      </c>
      <c r="H28" s="2">
        <v>2</v>
      </c>
      <c r="I28" s="2">
        <v>1018</v>
      </c>
      <c r="J28" s="2">
        <v>27.4</v>
      </c>
    </row>
    <row r="29" spans="1:10" x14ac:dyDescent="0.3">
      <c r="A29" s="2" t="s">
        <v>35</v>
      </c>
      <c r="B29" s="2" t="s">
        <v>31</v>
      </c>
      <c r="C29" s="2" t="s">
        <v>12</v>
      </c>
      <c r="D29" s="2" t="s">
        <v>28</v>
      </c>
      <c r="E29" s="2">
        <v>0.95</v>
      </c>
      <c r="F29" s="2">
        <v>53.6</v>
      </c>
      <c r="G29" s="2">
        <v>1500</v>
      </c>
      <c r="H29" s="2">
        <v>2</v>
      </c>
      <c r="I29" s="2">
        <v>895</v>
      </c>
      <c r="J29" s="2">
        <v>28</v>
      </c>
    </row>
    <row r="30" spans="1:10" x14ac:dyDescent="0.3">
      <c r="A30" s="2" t="s">
        <v>35</v>
      </c>
      <c r="B30" s="2" t="s">
        <v>33</v>
      </c>
      <c r="C30" s="2" t="s">
        <v>25</v>
      </c>
      <c r="D30" s="2" t="s">
        <v>28</v>
      </c>
      <c r="E30" s="2">
        <v>0.95</v>
      </c>
      <c r="F30" s="2">
        <v>53.3</v>
      </c>
      <c r="G30" s="2">
        <v>1500</v>
      </c>
      <c r="H30" s="2">
        <v>3</v>
      </c>
      <c r="I30" s="2">
        <v>721</v>
      </c>
      <c r="J30" s="2">
        <v>28.2</v>
      </c>
    </row>
    <row r="31" spans="1:10" x14ac:dyDescent="0.3">
      <c r="A31" s="2" t="s">
        <v>35</v>
      </c>
      <c r="B31" s="2" t="s">
        <v>30</v>
      </c>
      <c r="C31" s="2" t="s">
        <v>25</v>
      </c>
      <c r="D31" s="2" t="s">
        <v>28</v>
      </c>
      <c r="E31" s="2">
        <v>0.95</v>
      </c>
      <c r="F31" s="2">
        <v>52.6</v>
      </c>
      <c r="G31" s="2">
        <v>1500</v>
      </c>
      <c r="H31" s="2">
        <v>3</v>
      </c>
      <c r="I31" s="2">
        <v>1059</v>
      </c>
      <c r="J31" s="2">
        <v>28.5</v>
      </c>
    </row>
    <row r="32" spans="1:10" x14ac:dyDescent="0.3">
      <c r="A32" s="2" t="s">
        <v>35</v>
      </c>
      <c r="B32" s="2" t="s">
        <v>22</v>
      </c>
      <c r="C32" s="2" t="s">
        <v>17</v>
      </c>
      <c r="D32" s="2" t="s">
        <v>32</v>
      </c>
      <c r="E32" s="2">
        <v>0.9</v>
      </c>
      <c r="F32" s="2">
        <v>52</v>
      </c>
      <c r="G32" s="2">
        <v>1500</v>
      </c>
      <c r="H32" s="2">
        <v>2</v>
      </c>
      <c r="I32" s="2">
        <v>777</v>
      </c>
      <c r="J32" s="2">
        <v>28.9</v>
      </c>
    </row>
    <row r="33" spans="1:10" x14ac:dyDescent="0.3">
      <c r="A33" s="2" t="s">
        <v>35</v>
      </c>
      <c r="B33" s="2" t="s">
        <v>24</v>
      </c>
      <c r="C33" s="2" t="s">
        <v>25</v>
      </c>
      <c r="D33" s="2" t="s">
        <v>32</v>
      </c>
      <c r="E33" s="2">
        <v>0.9</v>
      </c>
      <c r="F33" s="2">
        <v>45.7</v>
      </c>
      <c r="G33" s="2">
        <v>1000</v>
      </c>
      <c r="H33" s="2">
        <v>2</v>
      </c>
      <c r="I33" s="2">
        <v>662</v>
      </c>
      <c r="J33" s="2">
        <v>21.9</v>
      </c>
    </row>
    <row r="34" spans="1:10" x14ac:dyDescent="0.3">
      <c r="A34" s="2" t="s">
        <v>36</v>
      </c>
      <c r="B34" s="2" t="s">
        <v>18</v>
      </c>
      <c r="C34" s="2" t="s">
        <v>12</v>
      </c>
      <c r="D34" s="2" t="s">
        <v>13</v>
      </c>
      <c r="E34" s="2">
        <v>0.98</v>
      </c>
      <c r="F34" s="2">
        <v>68.3</v>
      </c>
      <c r="G34" s="2">
        <v>2250</v>
      </c>
      <c r="H34" s="2">
        <v>3</v>
      </c>
      <c r="I34" s="2">
        <v>1428</v>
      </c>
      <c r="J34" s="2">
        <v>32.9</v>
      </c>
    </row>
    <row r="35" spans="1:10" x14ac:dyDescent="0.3">
      <c r="A35" s="2" t="s">
        <v>36</v>
      </c>
      <c r="B35" s="2" t="s">
        <v>22</v>
      </c>
      <c r="C35" s="2" t="s">
        <v>17</v>
      </c>
      <c r="D35" s="2" t="s">
        <v>13</v>
      </c>
      <c r="E35" s="2">
        <v>0.98</v>
      </c>
      <c r="F35" s="2">
        <v>67.900000000000006</v>
      </c>
      <c r="G35" s="2">
        <v>2250</v>
      </c>
      <c r="H35" s="2">
        <v>3</v>
      </c>
      <c r="I35" s="2">
        <v>1284</v>
      </c>
      <c r="J35" s="2">
        <v>33.1</v>
      </c>
    </row>
    <row r="36" spans="1:10" x14ac:dyDescent="0.3">
      <c r="A36" s="2" t="s">
        <v>36</v>
      </c>
      <c r="B36" s="2" t="s">
        <v>34</v>
      </c>
      <c r="C36" s="2" t="s">
        <v>17</v>
      </c>
      <c r="D36" s="2" t="s">
        <v>13</v>
      </c>
      <c r="E36" s="2">
        <v>0.98</v>
      </c>
      <c r="F36" s="2">
        <v>66.7</v>
      </c>
      <c r="G36" s="2">
        <v>2250</v>
      </c>
      <c r="H36" s="2">
        <v>3</v>
      </c>
      <c r="I36" s="2">
        <v>1150</v>
      </c>
      <c r="J36" s="2">
        <v>33.700000000000003</v>
      </c>
    </row>
    <row r="37" spans="1:10" x14ac:dyDescent="0.3">
      <c r="A37" s="2" t="s">
        <v>36</v>
      </c>
      <c r="B37" s="2" t="s">
        <v>14</v>
      </c>
      <c r="C37" s="2" t="s">
        <v>15</v>
      </c>
      <c r="D37" s="2" t="s">
        <v>13</v>
      </c>
      <c r="E37" s="2">
        <v>0.98</v>
      </c>
      <c r="F37" s="2">
        <v>65</v>
      </c>
      <c r="G37" s="2">
        <v>2250</v>
      </c>
      <c r="H37" s="2">
        <v>3</v>
      </c>
      <c r="I37" s="2">
        <v>1471</v>
      </c>
      <c r="J37" s="2">
        <v>34.6</v>
      </c>
    </row>
    <row r="38" spans="1:10" x14ac:dyDescent="0.3">
      <c r="A38" s="2" t="s">
        <v>36</v>
      </c>
      <c r="B38" s="2" t="s">
        <v>31</v>
      </c>
      <c r="C38" s="2" t="s">
        <v>12</v>
      </c>
      <c r="D38" s="2" t="s">
        <v>13</v>
      </c>
      <c r="E38" s="2">
        <v>0.98</v>
      </c>
      <c r="F38" s="2">
        <v>63.7</v>
      </c>
      <c r="G38" s="2">
        <v>2250</v>
      </c>
      <c r="H38" s="2">
        <v>3</v>
      </c>
      <c r="I38" s="2">
        <v>1640</v>
      </c>
      <c r="J38" s="2">
        <v>35.299999999999997</v>
      </c>
    </row>
    <row r="39" spans="1:10" x14ac:dyDescent="0.3">
      <c r="A39" s="2" t="s">
        <v>36</v>
      </c>
      <c r="B39" s="2" t="s">
        <v>16</v>
      </c>
      <c r="C39" s="2" t="s">
        <v>17</v>
      </c>
      <c r="D39" s="2" t="s">
        <v>13</v>
      </c>
      <c r="E39" s="2">
        <v>0.98</v>
      </c>
      <c r="F39" s="2">
        <v>63.5</v>
      </c>
      <c r="G39" s="2">
        <v>2250</v>
      </c>
      <c r="H39" s="2">
        <v>3</v>
      </c>
      <c r="I39" s="2">
        <v>1376</v>
      </c>
      <c r="J39" s="2">
        <v>35.5</v>
      </c>
    </row>
    <row r="40" spans="1:10" x14ac:dyDescent="0.3">
      <c r="A40" s="2" t="s">
        <v>36</v>
      </c>
      <c r="B40" s="2" t="s">
        <v>23</v>
      </c>
      <c r="C40" s="2" t="s">
        <v>15</v>
      </c>
      <c r="D40" s="2" t="s">
        <v>13</v>
      </c>
      <c r="E40" s="2">
        <v>0.98</v>
      </c>
      <c r="F40" s="2">
        <v>60.4</v>
      </c>
      <c r="G40" s="2">
        <v>2250</v>
      </c>
      <c r="H40" s="2">
        <v>3</v>
      </c>
      <c r="I40" s="2">
        <v>1324</v>
      </c>
      <c r="J40" s="2">
        <v>37.299999999999997</v>
      </c>
    </row>
    <row r="41" spans="1:10" x14ac:dyDescent="0.3">
      <c r="A41" s="2" t="s">
        <v>36</v>
      </c>
      <c r="B41" s="2" t="s">
        <v>33</v>
      </c>
      <c r="C41" s="2" t="s">
        <v>25</v>
      </c>
      <c r="D41" s="2" t="s">
        <v>13</v>
      </c>
      <c r="E41" s="2">
        <v>0.98</v>
      </c>
      <c r="F41" s="2">
        <v>56.8</v>
      </c>
      <c r="G41" s="2">
        <v>2000</v>
      </c>
      <c r="H41" s="2">
        <v>4</v>
      </c>
      <c r="I41" s="2">
        <v>1223</v>
      </c>
      <c r="J41" s="2">
        <v>35.200000000000003</v>
      </c>
    </row>
    <row r="42" spans="1:10" x14ac:dyDescent="0.3">
      <c r="A42" s="2" t="s">
        <v>36</v>
      </c>
      <c r="B42" s="2" t="s">
        <v>26</v>
      </c>
      <c r="C42" s="2" t="s">
        <v>15</v>
      </c>
      <c r="D42" s="2" t="s">
        <v>13</v>
      </c>
      <c r="E42" s="2">
        <v>0.98</v>
      </c>
      <c r="F42" s="2">
        <v>55.9</v>
      </c>
      <c r="G42" s="2">
        <v>2250</v>
      </c>
      <c r="H42" s="2">
        <v>3</v>
      </c>
      <c r="I42" s="2">
        <v>1501</v>
      </c>
      <c r="J42" s="2">
        <v>40.200000000000003</v>
      </c>
    </row>
    <row r="43" spans="1:10" x14ac:dyDescent="0.3">
      <c r="A43" s="2" t="s">
        <v>36</v>
      </c>
      <c r="B43" s="2" t="s">
        <v>24</v>
      </c>
      <c r="C43" s="2" t="s">
        <v>25</v>
      </c>
      <c r="D43" s="2" t="s">
        <v>13</v>
      </c>
      <c r="E43" s="2">
        <v>0.98</v>
      </c>
      <c r="F43" s="2">
        <v>55.3</v>
      </c>
      <c r="G43" s="2">
        <v>1500</v>
      </c>
      <c r="H43" s="2">
        <v>3</v>
      </c>
      <c r="I43" s="2">
        <v>888</v>
      </c>
      <c r="J43" s="2">
        <v>27.1</v>
      </c>
    </row>
    <row r="44" spans="1:10" x14ac:dyDescent="0.3">
      <c r="A44" s="2" t="s">
        <v>36</v>
      </c>
      <c r="B44" s="2" t="s">
        <v>19</v>
      </c>
      <c r="C44" s="2" t="s">
        <v>20</v>
      </c>
      <c r="D44" s="2" t="s">
        <v>28</v>
      </c>
      <c r="E44" s="2">
        <v>0.95</v>
      </c>
      <c r="F44" s="2">
        <v>55.3</v>
      </c>
      <c r="G44" s="2">
        <v>1500</v>
      </c>
      <c r="H44" s="2">
        <v>2</v>
      </c>
      <c r="I44" s="2">
        <v>991</v>
      </c>
      <c r="J44" s="2">
        <v>27.1</v>
      </c>
    </row>
    <row r="45" spans="1:10" x14ac:dyDescent="0.3">
      <c r="A45" s="2" t="s">
        <v>36</v>
      </c>
      <c r="B45" s="2" t="s">
        <v>11</v>
      </c>
      <c r="C45" s="2" t="s">
        <v>12</v>
      </c>
      <c r="D45" s="2" t="s">
        <v>28</v>
      </c>
      <c r="E45" s="2">
        <v>0.95</v>
      </c>
      <c r="F45" s="2">
        <v>55</v>
      </c>
      <c r="G45" s="2">
        <v>1500</v>
      </c>
      <c r="H45" s="2">
        <v>2</v>
      </c>
      <c r="I45" s="2">
        <v>791</v>
      </c>
      <c r="J45" s="2">
        <v>27.3</v>
      </c>
    </row>
    <row r="46" spans="1:10" x14ac:dyDescent="0.3">
      <c r="A46" s="2" t="s">
        <v>36</v>
      </c>
      <c r="B46" s="2" t="s">
        <v>27</v>
      </c>
      <c r="C46" s="2" t="s">
        <v>20</v>
      </c>
      <c r="D46" s="2" t="s">
        <v>28</v>
      </c>
      <c r="E46" s="2">
        <v>0.95</v>
      </c>
      <c r="F46" s="2">
        <v>54.9</v>
      </c>
      <c r="G46" s="2">
        <v>1500</v>
      </c>
      <c r="H46" s="2">
        <v>2</v>
      </c>
      <c r="I46" s="2">
        <v>807</v>
      </c>
      <c r="J46" s="2">
        <v>27.3</v>
      </c>
    </row>
    <row r="47" spans="1:10" x14ac:dyDescent="0.3">
      <c r="A47" s="2" t="s">
        <v>36</v>
      </c>
      <c r="B47" s="2" t="s">
        <v>29</v>
      </c>
      <c r="C47" s="2" t="s">
        <v>25</v>
      </c>
      <c r="D47" s="2" t="s">
        <v>28</v>
      </c>
      <c r="E47" s="2">
        <v>0.95</v>
      </c>
      <c r="F47" s="2">
        <v>53.9</v>
      </c>
      <c r="G47" s="2">
        <v>1500</v>
      </c>
      <c r="H47" s="2">
        <v>3</v>
      </c>
      <c r="I47" s="2">
        <v>770</v>
      </c>
      <c r="J47" s="2">
        <v>27.8</v>
      </c>
    </row>
    <row r="48" spans="1:10" x14ac:dyDescent="0.3">
      <c r="A48" s="2" t="s">
        <v>36</v>
      </c>
      <c r="B48" s="2" t="s">
        <v>30</v>
      </c>
      <c r="C48" s="2" t="s">
        <v>25</v>
      </c>
      <c r="D48" s="2" t="s">
        <v>32</v>
      </c>
      <c r="E48" s="2">
        <v>0.9</v>
      </c>
      <c r="F48" s="2">
        <v>51.2</v>
      </c>
      <c r="G48" s="2">
        <v>1000</v>
      </c>
      <c r="H48" s="2">
        <v>2</v>
      </c>
      <c r="I48" s="2">
        <v>633</v>
      </c>
      <c r="J48" s="2">
        <v>19.5</v>
      </c>
    </row>
    <row r="49" spans="1:10" x14ac:dyDescent="0.3">
      <c r="A49" s="2" t="s">
        <v>36</v>
      </c>
      <c r="B49" s="2" t="s">
        <v>21</v>
      </c>
      <c r="C49" s="2" t="s">
        <v>20</v>
      </c>
      <c r="D49" s="2" t="s">
        <v>32</v>
      </c>
      <c r="E49" s="2">
        <v>0.9</v>
      </c>
      <c r="F49" s="2">
        <v>47.9</v>
      </c>
      <c r="G49" s="2">
        <v>1500</v>
      </c>
      <c r="H49" s="2">
        <v>2</v>
      </c>
      <c r="I49" s="2">
        <v>654</v>
      </c>
      <c r="J49" s="2">
        <v>31.3</v>
      </c>
    </row>
    <row r="50" spans="1:10" x14ac:dyDescent="0.3">
      <c r="A50" s="2" t="s">
        <v>37</v>
      </c>
      <c r="B50" s="2" t="s">
        <v>34</v>
      </c>
      <c r="C50" s="2" t="s">
        <v>17</v>
      </c>
      <c r="D50" s="2" t="s">
        <v>13</v>
      </c>
      <c r="E50" s="2">
        <v>0.98</v>
      </c>
      <c r="F50" s="2">
        <v>67.099999999999994</v>
      </c>
      <c r="G50" s="2">
        <v>1500</v>
      </c>
      <c r="H50" s="2">
        <v>2</v>
      </c>
      <c r="I50" s="2">
        <v>890</v>
      </c>
      <c r="J50" s="2">
        <v>22.4</v>
      </c>
    </row>
    <row r="51" spans="1:10" x14ac:dyDescent="0.3">
      <c r="A51" s="2" t="s">
        <v>37</v>
      </c>
      <c r="B51" s="2" t="s">
        <v>21</v>
      </c>
      <c r="C51" s="2" t="s">
        <v>20</v>
      </c>
      <c r="D51" s="2" t="s">
        <v>13</v>
      </c>
      <c r="E51" s="2">
        <v>0.98</v>
      </c>
      <c r="F51" s="2">
        <v>64.2</v>
      </c>
      <c r="G51" s="2">
        <v>1500</v>
      </c>
      <c r="H51" s="2">
        <v>2</v>
      </c>
      <c r="I51" s="2">
        <v>1031</v>
      </c>
      <c r="J51" s="2">
        <v>23.4</v>
      </c>
    </row>
    <row r="52" spans="1:10" x14ac:dyDescent="0.3">
      <c r="A52" s="2" t="s">
        <v>37</v>
      </c>
      <c r="B52" s="2" t="s">
        <v>18</v>
      </c>
      <c r="C52" s="2" t="s">
        <v>12</v>
      </c>
      <c r="D52" s="2" t="s">
        <v>13</v>
      </c>
      <c r="E52" s="2">
        <v>0.98</v>
      </c>
      <c r="F52" s="2">
        <v>63.8</v>
      </c>
      <c r="G52" s="2">
        <v>2250</v>
      </c>
      <c r="H52" s="2">
        <v>3</v>
      </c>
      <c r="I52" s="2">
        <v>1183</v>
      </c>
      <c r="J52" s="2">
        <v>35.299999999999997</v>
      </c>
    </row>
    <row r="53" spans="1:10" x14ac:dyDescent="0.3">
      <c r="A53" s="2" t="s">
        <v>37</v>
      </c>
      <c r="B53" s="2" t="s">
        <v>31</v>
      </c>
      <c r="C53" s="2" t="s">
        <v>12</v>
      </c>
      <c r="D53" s="2" t="s">
        <v>13</v>
      </c>
      <c r="E53" s="2">
        <v>0.98</v>
      </c>
      <c r="F53" s="2">
        <v>63.6</v>
      </c>
      <c r="G53" s="2">
        <v>2250</v>
      </c>
      <c r="H53" s="2">
        <v>3</v>
      </c>
      <c r="I53" s="2">
        <v>1326</v>
      </c>
      <c r="J53" s="2">
        <v>35.4</v>
      </c>
    </row>
    <row r="54" spans="1:10" x14ac:dyDescent="0.3">
      <c r="A54" s="2" t="s">
        <v>37</v>
      </c>
      <c r="B54" s="2" t="s">
        <v>26</v>
      </c>
      <c r="C54" s="2" t="s">
        <v>15</v>
      </c>
      <c r="D54" s="2" t="s">
        <v>13</v>
      </c>
      <c r="E54" s="2">
        <v>0.98</v>
      </c>
      <c r="F54" s="2">
        <v>61.3</v>
      </c>
      <c r="G54" s="2">
        <v>2250</v>
      </c>
      <c r="H54" s="2">
        <v>3</v>
      </c>
      <c r="I54" s="2">
        <v>1569</v>
      </c>
      <c r="J54" s="2">
        <v>36.700000000000003</v>
      </c>
    </row>
    <row r="55" spans="1:10" x14ac:dyDescent="0.3">
      <c r="A55" s="2" t="s">
        <v>37</v>
      </c>
      <c r="B55" s="2" t="s">
        <v>16</v>
      </c>
      <c r="C55" s="2" t="s">
        <v>17</v>
      </c>
      <c r="D55" s="2" t="s">
        <v>13</v>
      </c>
      <c r="E55" s="2">
        <v>0.98</v>
      </c>
      <c r="F55" s="2">
        <v>60.8</v>
      </c>
      <c r="G55" s="2">
        <v>2250</v>
      </c>
      <c r="H55" s="2">
        <v>3</v>
      </c>
      <c r="I55" s="2">
        <v>1149</v>
      </c>
      <c r="J55" s="2">
        <v>37</v>
      </c>
    </row>
    <row r="56" spans="1:10" x14ac:dyDescent="0.3">
      <c r="A56" s="2" t="s">
        <v>37</v>
      </c>
      <c r="B56" s="2" t="s">
        <v>30</v>
      </c>
      <c r="C56" s="2" t="s">
        <v>25</v>
      </c>
      <c r="D56" s="2" t="s">
        <v>13</v>
      </c>
      <c r="E56" s="2">
        <v>0.98</v>
      </c>
      <c r="F56" s="2">
        <v>59.3</v>
      </c>
      <c r="G56" s="2">
        <v>2000</v>
      </c>
      <c r="H56" s="2">
        <v>4</v>
      </c>
      <c r="I56" s="2">
        <v>1138</v>
      </c>
      <c r="J56" s="2">
        <v>33.700000000000003</v>
      </c>
    </row>
    <row r="57" spans="1:10" x14ac:dyDescent="0.3">
      <c r="A57" s="2" t="s">
        <v>37</v>
      </c>
      <c r="B57" s="2" t="s">
        <v>14</v>
      </c>
      <c r="C57" s="2" t="s">
        <v>15</v>
      </c>
      <c r="D57" s="2" t="s">
        <v>13</v>
      </c>
      <c r="E57" s="2">
        <v>0.98</v>
      </c>
      <c r="F57" s="2">
        <v>59.1</v>
      </c>
      <c r="G57" s="2">
        <v>2250</v>
      </c>
      <c r="H57" s="2">
        <v>3</v>
      </c>
      <c r="I57" s="2">
        <v>1673</v>
      </c>
      <c r="J57" s="2">
        <v>38.1</v>
      </c>
    </row>
    <row r="58" spans="1:10" x14ac:dyDescent="0.3">
      <c r="A58" s="2" t="s">
        <v>37</v>
      </c>
      <c r="B58" s="2" t="s">
        <v>27</v>
      </c>
      <c r="C58" s="2" t="s">
        <v>20</v>
      </c>
      <c r="D58" s="2" t="s">
        <v>13</v>
      </c>
      <c r="E58" s="2">
        <v>0.98</v>
      </c>
      <c r="F58" s="2">
        <v>57.6</v>
      </c>
      <c r="G58" s="2">
        <v>2250</v>
      </c>
      <c r="H58" s="2">
        <v>3</v>
      </c>
      <c r="I58" s="2">
        <v>1193</v>
      </c>
      <c r="J58" s="2">
        <v>39.1</v>
      </c>
    </row>
    <row r="59" spans="1:10" x14ac:dyDescent="0.3">
      <c r="A59" s="2" t="s">
        <v>37</v>
      </c>
      <c r="B59" s="2" t="s">
        <v>23</v>
      </c>
      <c r="C59" s="2" t="s">
        <v>15</v>
      </c>
      <c r="D59" s="2" t="s">
        <v>13</v>
      </c>
      <c r="E59" s="2">
        <v>0.98</v>
      </c>
      <c r="F59" s="2">
        <v>55.9</v>
      </c>
      <c r="G59" s="2">
        <v>2250</v>
      </c>
      <c r="H59" s="2">
        <v>3</v>
      </c>
      <c r="I59" s="2">
        <v>1214</v>
      </c>
      <c r="J59" s="2">
        <v>40.200000000000003</v>
      </c>
    </row>
    <row r="60" spans="1:10" x14ac:dyDescent="0.3">
      <c r="A60" s="2" t="s">
        <v>37</v>
      </c>
      <c r="B60" s="2" t="s">
        <v>11</v>
      </c>
      <c r="C60" s="2" t="s">
        <v>12</v>
      </c>
      <c r="D60" s="2" t="s">
        <v>28</v>
      </c>
      <c r="E60" s="2">
        <v>0.95</v>
      </c>
      <c r="F60" s="2">
        <v>53.4</v>
      </c>
      <c r="G60" s="2">
        <v>1500</v>
      </c>
      <c r="H60" s="2">
        <v>2</v>
      </c>
      <c r="I60" s="2">
        <v>719</v>
      </c>
      <c r="J60" s="2">
        <v>28.1</v>
      </c>
    </row>
    <row r="61" spans="1:10" x14ac:dyDescent="0.3">
      <c r="A61" s="2" t="s">
        <v>37</v>
      </c>
      <c r="B61" s="2" t="s">
        <v>22</v>
      </c>
      <c r="C61" s="2" t="s">
        <v>17</v>
      </c>
      <c r="D61" s="2" t="s">
        <v>28</v>
      </c>
      <c r="E61" s="2">
        <v>0.95</v>
      </c>
      <c r="F61" s="2">
        <v>53.1</v>
      </c>
      <c r="G61" s="2">
        <v>2250</v>
      </c>
      <c r="H61" s="2">
        <v>3</v>
      </c>
      <c r="I61" s="2">
        <v>1400</v>
      </c>
      <c r="J61" s="2">
        <v>42.4</v>
      </c>
    </row>
    <row r="62" spans="1:10" x14ac:dyDescent="0.3">
      <c r="A62" s="2" t="s">
        <v>37</v>
      </c>
      <c r="B62" s="2" t="s">
        <v>19</v>
      </c>
      <c r="C62" s="2" t="s">
        <v>20</v>
      </c>
      <c r="D62" s="2" t="s">
        <v>28</v>
      </c>
      <c r="E62" s="2">
        <v>0.95</v>
      </c>
      <c r="F62" s="2">
        <v>53</v>
      </c>
      <c r="G62" s="2">
        <v>1500</v>
      </c>
      <c r="H62" s="2">
        <v>2</v>
      </c>
      <c r="I62" s="2">
        <v>1015</v>
      </c>
      <c r="J62" s="2">
        <v>28.3</v>
      </c>
    </row>
    <row r="63" spans="1:10" x14ac:dyDescent="0.3">
      <c r="A63" s="2" t="s">
        <v>37</v>
      </c>
      <c r="B63" s="2" t="s">
        <v>24</v>
      </c>
      <c r="C63" s="2" t="s">
        <v>25</v>
      </c>
      <c r="D63" s="2" t="s">
        <v>28</v>
      </c>
      <c r="E63" s="2">
        <v>0.95</v>
      </c>
      <c r="F63" s="2">
        <v>52.9</v>
      </c>
      <c r="G63" s="2">
        <v>1500</v>
      </c>
      <c r="H63" s="2">
        <v>3</v>
      </c>
      <c r="I63" s="2">
        <v>1010</v>
      </c>
      <c r="J63" s="2">
        <v>28.4</v>
      </c>
    </row>
    <row r="64" spans="1:10" x14ac:dyDescent="0.3">
      <c r="A64" s="2" t="s">
        <v>37</v>
      </c>
      <c r="B64" s="2" t="s">
        <v>29</v>
      </c>
      <c r="C64" s="2" t="s">
        <v>25</v>
      </c>
      <c r="D64" s="2" t="s">
        <v>32</v>
      </c>
      <c r="E64" s="2">
        <v>0.9</v>
      </c>
      <c r="F64" s="2">
        <v>52.1</v>
      </c>
      <c r="G64" s="2">
        <v>1500</v>
      </c>
      <c r="H64" s="2">
        <v>3</v>
      </c>
      <c r="I64" s="2">
        <v>698</v>
      </c>
      <c r="J64" s="2">
        <v>28.8</v>
      </c>
    </row>
    <row r="65" spans="1:10" x14ac:dyDescent="0.3">
      <c r="A65" s="2" t="s">
        <v>37</v>
      </c>
      <c r="B65" s="2" t="s">
        <v>33</v>
      </c>
      <c r="C65" s="2" t="s">
        <v>25</v>
      </c>
      <c r="D65" s="2" t="s">
        <v>32</v>
      </c>
      <c r="E65" s="2">
        <v>0.9</v>
      </c>
      <c r="F65" s="2">
        <v>46.1</v>
      </c>
      <c r="G65" s="2">
        <v>1000</v>
      </c>
      <c r="H65" s="2">
        <v>2</v>
      </c>
      <c r="I65" s="2">
        <v>538</v>
      </c>
      <c r="J65" s="2">
        <v>21.7</v>
      </c>
    </row>
    <row r="66" spans="1:10" x14ac:dyDescent="0.3">
      <c r="A66" s="2" t="s">
        <v>38</v>
      </c>
      <c r="B66" s="2" t="s">
        <v>16</v>
      </c>
      <c r="C66" s="2" t="s">
        <v>17</v>
      </c>
      <c r="D66" s="2" t="s">
        <v>13</v>
      </c>
      <c r="E66" s="2">
        <v>0.98</v>
      </c>
      <c r="F66" s="2">
        <v>65.3</v>
      </c>
      <c r="G66" s="2">
        <v>2250</v>
      </c>
      <c r="H66" s="2">
        <v>3</v>
      </c>
      <c r="I66" s="2">
        <v>1361</v>
      </c>
      <c r="J66" s="2">
        <v>34.4</v>
      </c>
    </row>
    <row r="67" spans="1:10" x14ac:dyDescent="0.3">
      <c r="A67" s="2" t="s">
        <v>38</v>
      </c>
      <c r="B67" s="2" t="s">
        <v>27</v>
      </c>
      <c r="C67" s="2" t="s">
        <v>20</v>
      </c>
      <c r="D67" s="2" t="s">
        <v>13</v>
      </c>
      <c r="E67" s="2">
        <v>0.98</v>
      </c>
      <c r="F67" s="2">
        <v>65</v>
      </c>
      <c r="G67" s="2">
        <v>2250</v>
      </c>
      <c r="H67" s="2">
        <v>3</v>
      </c>
      <c r="I67" s="2">
        <v>1088</v>
      </c>
      <c r="J67" s="2">
        <v>34.6</v>
      </c>
    </row>
    <row r="68" spans="1:10" x14ac:dyDescent="0.3">
      <c r="A68" s="2" t="s">
        <v>38</v>
      </c>
      <c r="B68" s="2" t="s">
        <v>33</v>
      </c>
      <c r="C68" s="2" t="s">
        <v>25</v>
      </c>
      <c r="D68" s="2" t="s">
        <v>13</v>
      </c>
      <c r="E68" s="2">
        <v>0.98</v>
      </c>
      <c r="F68" s="2">
        <v>64.099999999999994</v>
      </c>
      <c r="G68" s="2">
        <v>2000</v>
      </c>
      <c r="H68" s="2">
        <v>4</v>
      </c>
      <c r="I68" s="2">
        <v>1455</v>
      </c>
      <c r="J68" s="2">
        <v>31.2</v>
      </c>
    </row>
    <row r="69" spans="1:10" x14ac:dyDescent="0.3">
      <c r="A69" s="2" t="s">
        <v>38</v>
      </c>
      <c r="B69" s="2" t="s">
        <v>18</v>
      </c>
      <c r="C69" s="2" t="s">
        <v>12</v>
      </c>
      <c r="D69" s="2" t="s">
        <v>13</v>
      </c>
      <c r="E69" s="2">
        <v>0.98</v>
      </c>
      <c r="F69" s="2">
        <v>60.6</v>
      </c>
      <c r="G69" s="2">
        <v>2250</v>
      </c>
      <c r="H69" s="2">
        <v>3</v>
      </c>
      <c r="I69" s="2">
        <v>1148</v>
      </c>
      <c r="J69" s="2">
        <v>37.1</v>
      </c>
    </row>
    <row r="70" spans="1:10" x14ac:dyDescent="0.3">
      <c r="A70" s="2" t="s">
        <v>38</v>
      </c>
      <c r="B70" s="2" t="s">
        <v>21</v>
      </c>
      <c r="C70" s="2" t="s">
        <v>20</v>
      </c>
      <c r="D70" s="2" t="s">
        <v>13</v>
      </c>
      <c r="E70" s="2">
        <v>0.98</v>
      </c>
      <c r="F70" s="2">
        <v>60.1</v>
      </c>
      <c r="G70" s="2">
        <v>1500</v>
      </c>
      <c r="H70" s="2">
        <v>2</v>
      </c>
      <c r="I70" s="2">
        <v>877</v>
      </c>
      <c r="J70" s="2">
        <v>24.9</v>
      </c>
    </row>
    <row r="71" spans="1:10" x14ac:dyDescent="0.3">
      <c r="A71" s="2" t="s">
        <v>38</v>
      </c>
      <c r="B71" s="2" t="s">
        <v>22</v>
      </c>
      <c r="C71" s="2" t="s">
        <v>17</v>
      </c>
      <c r="D71" s="2" t="s">
        <v>13</v>
      </c>
      <c r="E71" s="2">
        <v>0.98</v>
      </c>
      <c r="F71" s="2">
        <v>59.9</v>
      </c>
      <c r="G71" s="2">
        <v>2250</v>
      </c>
      <c r="H71" s="2">
        <v>3</v>
      </c>
      <c r="I71" s="2">
        <v>1088</v>
      </c>
      <c r="J71" s="2">
        <v>37.6</v>
      </c>
    </row>
    <row r="72" spans="1:10" x14ac:dyDescent="0.3">
      <c r="A72" s="2" t="s">
        <v>38</v>
      </c>
      <c r="B72" s="2" t="s">
        <v>31</v>
      </c>
      <c r="C72" s="2" t="s">
        <v>12</v>
      </c>
      <c r="D72" s="2" t="s">
        <v>13</v>
      </c>
      <c r="E72" s="2">
        <v>0.98</v>
      </c>
      <c r="F72" s="2">
        <v>59.5</v>
      </c>
      <c r="G72" s="2">
        <v>2250</v>
      </c>
      <c r="H72" s="2">
        <v>3</v>
      </c>
      <c r="I72" s="2">
        <v>1527</v>
      </c>
      <c r="J72" s="2">
        <v>37.799999999999997</v>
      </c>
    </row>
    <row r="73" spans="1:10" x14ac:dyDescent="0.3">
      <c r="A73" s="2" t="s">
        <v>38</v>
      </c>
      <c r="B73" s="2" t="s">
        <v>14</v>
      </c>
      <c r="C73" s="2" t="s">
        <v>15</v>
      </c>
      <c r="D73" s="2" t="s">
        <v>13</v>
      </c>
      <c r="E73" s="2">
        <v>0.98</v>
      </c>
      <c r="F73" s="2">
        <v>58</v>
      </c>
      <c r="G73" s="2">
        <v>1500</v>
      </c>
      <c r="H73" s="2">
        <v>2</v>
      </c>
      <c r="I73" s="2">
        <v>1029</v>
      </c>
      <c r="J73" s="2">
        <v>25.8</v>
      </c>
    </row>
    <row r="74" spans="1:10" x14ac:dyDescent="0.3">
      <c r="A74" s="2" t="s">
        <v>38</v>
      </c>
      <c r="B74" s="2" t="s">
        <v>19</v>
      </c>
      <c r="C74" s="2" t="s">
        <v>20</v>
      </c>
      <c r="D74" s="2" t="s">
        <v>13</v>
      </c>
      <c r="E74" s="2">
        <v>0.98</v>
      </c>
      <c r="F74" s="2">
        <v>57.4</v>
      </c>
      <c r="G74" s="2">
        <v>1500</v>
      </c>
      <c r="H74" s="2">
        <v>2</v>
      </c>
      <c r="I74" s="2">
        <v>1007</v>
      </c>
      <c r="J74" s="2">
        <v>26.1</v>
      </c>
    </row>
    <row r="75" spans="1:10" x14ac:dyDescent="0.3">
      <c r="A75" s="2" t="s">
        <v>38</v>
      </c>
      <c r="B75" s="2" t="s">
        <v>11</v>
      </c>
      <c r="C75" s="2" t="s">
        <v>12</v>
      </c>
      <c r="D75" s="2" t="s">
        <v>13</v>
      </c>
      <c r="E75" s="2">
        <v>0.98</v>
      </c>
      <c r="F75" s="2">
        <v>57.2</v>
      </c>
      <c r="G75" s="2">
        <v>2250</v>
      </c>
      <c r="H75" s="2">
        <v>3</v>
      </c>
      <c r="I75" s="2">
        <v>1190</v>
      </c>
      <c r="J75" s="2">
        <v>39.299999999999997</v>
      </c>
    </row>
    <row r="76" spans="1:10" x14ac:dyDescent="0.3">
      <c r="A76" s="2" t="s">
        <v>38</v>
      </c>
      <c r="B76" s="2" t="s">
        <v>34</v>
      </c>
      <c r="C76" s="2" t="s">
        <v>17</v>
      </c>
      <c r="D76" s="2" t="s">
        <v>28</v>
      </c>
      <c r="E76" s="2">
        <v>0.95</v>
      </c>
      <c r="F76" s="2">
        <v>56.3</v>
      </c>
      <c r="G76" s="2">
        <v>1500</v>
      </c>
      <c r="H76" s="2">
        <v>2</v>
      </c>
      <c r="I76" s="2">
        <v>1051</v>
      </c>
      <c r="J76" s="2">
        <v>26.6</v>
      </c>
    </row>
    <row r="77" spans="1:10" x14ac:dyDescent="0.3">
      <c r="A77" s="2" t="s">
        <v>38</v>
      </c>
      <c r="B77" s="2" t="s">
        <v>26</v>
      </c>
      <c r="C77" s="2" t="s">
        <v>15</v>
      </c>
      <c r="D77" s="2" t="s">
        <v>28</v>
      </c>
      <c r="E77" s="2">
        <v>0.95</v>
      </c>
      <c r="F77" s="2">
        <v>56.2</v>
      </c>
      <c r="G77" s="2">
        <v>2250</v>
      </c>
      <c r="H77" s="2">
        <v>3</v>
      </c>
      <c r="I77" s="2">
        <v>1150</v>
      </c>
      <c r="J77" s="2">
        <v>40</v>
      </c>
    </row>
    <row r="78" spans="1:10" x14ac:dyDescent="0.3">
      <c r="A78" s="2" t="s">
        <v>38</v>
      </c>
      <c r="B78" s="2" t="s">
        <v>24</v>
      </c>
      <c r="C78" s="2" t="s">
        <v>25</v>
      </c>
      <c r="D78" s="2" t="s">
        <v>28</v>
      </c>
      <c r="E78" s="2">
        <v>0.95</v>
      </c>
      <c r="F78" s="2">
        <v>51.1</v>
      </c>
      <c r="G78" s="2">
        <v>1500</v>
      </c>
      <c r="H78" s="2">
        <v>3</v>
      </c>
      <c r="I78" s="2">
        <v>898</v>
      </c>
      <c r="J78" s="2">
        <v>29.4</v>
      </c>
    </row>
    <row r="79" spans="1:10" x14ac:dyDescent="0.3">
      <c r="A79" s="2" t="s">
        <v>38</v>
      </c>
      <c r="B79" s="2" t="s">
        <v>30</v>
      </c>
      <c r="C79" s="2" t="s">
        <v>25</v>
      </c>
      <c r="D79" s="2" t="s">
        <v>28</v>
      </c>
      <c r="E79" s="2">
        <v>0.95</v>
      </c>
      <c r="F79" s="2">
        <v>50.8</v>
      </c>
      <c r="G79" s="2">
        <v>1500</v>
      </c>
      <c r="H79" s="2">
        <v>3</v>
      </c>
      <c r="I79" s="2">
        <v>655</v>
      </c>
      <c r="J79" s="2">
        <v>29.5</v>
      </c>
    </row>
    <row r="80" spans="1:10" x14ac:dyDescent="0.3">
      <c r="A80" s="2" t="s">
        <v>38</v>
      </c>
      <c r="B80" s="2" t="s">
        <v>23</v>
      </c>
      <c r="C80" s="2" t="s">
        <v>15</v>
      </c>
      <c r="D80" s="2" t="s">
        <v>32</v>
      </c>
      <c r="E80" s="2">
        <v>0.9</v>
      </c>
      <c r="F80" s="2">
        <v>49.9</v>
      </c>
      <c r="G80" s="2">
        <v>1500</v>
      </c>
      <c r="H80" s="2">
        <v>2</v>
      </c>
      <c r="I80" s="2">
        <v>541</v>
      </c>
      <c r="J80" s="2">
        <v>30.1</v>
      </c>
    </row>
    <row r="81" spans="1:10" x14ac:dyDescent="0.3">
      <c r="A81" s="2" t="s">
        <v>38</v>
      </c>
      <c r="B81" s="2" t="s">
        <v>29</v>
      </c>
      <c r="C81" s="2" t="s">
        <v>25</v>
      </c>
      <c r="D81" s="2" t="s">
        <v>32</v>
      </c>
      <c r="E81" s="2">
        <v>0.9</v>
      </c>
      <c r="F81" s="2">
        <v>44.4</v>
      </c>
      <c r="G81" s="2">
        <v>1000</v>
      </c>
      <c r="H81" s="2">
        <v>2</v>
      </c>
      <c r="I81" s="2">
        <v>632</v>
      </c>
      <c r="J81" s="2">
        <v>22.5</v>
      </c>
    </row>
    <row r="82" spans="1:10" x14ac:dyDescent="0.3">
      <c r="A82" s="2" t="s">
        <v>39</v>
      </c>
      <c r="B82" s="2" t="s">
        <v>27</v>
      </c>
      <c r="C82" s="2" t="s">
        <v>20</v>
      </c>
      <c r="D82" s="2" t="s">
        <v>13</v>
      </c>
      <c r="E82" s="2">
        <v>0.98</v>
      </c>
      <c r="F82" s="2">
        <v>65.8</v>
      </c>
      <c r="G82" s="2">
        <v>2250</v>
      </c>
      <c r="H82" s="2">
        <v>3</v>
      </c>
      <c r="I82" s="2">
        <v>1303</v>
      </c>
      <c r="J82" s="2">
        <v>34.200000000000003</v>
      </c>
    </row>
    <row r="83" spans="1:10" x14ac:dyDescent="0.3">
      <c r="A83" s="2" t="s">
        <v>39</v>
      </c>
      <c r="B83" s="2" t="s">
        <v>16</v>
      </c>
      <c r="C83" s="2" t="s">
        <v>17</v>
      </c>
      <c r="D83" s="2" t="s">
        <v>13</v>
      </c>
      <c r="E83" s="2">
        <v>0.98</v>
      </c>
      <c r="F83" s="2">
        <v>63.6</v>
      </c>
      <c r="G83" s="2">
        <v>2250</v>
      </c>
      <c r="H83" s="2">
        <v>3</v>
      </c>
      <c r="I83" s="2">
        <v>1173</v>
      </c>
      <c r="J83" s="2">
        <v>35.4</v>
      </c>
    </row>
    <row r="84" spans="1:10" x14ac:dyDescent="0.3">
      <c r="A84" s="2" t="s">
        <v>39</v>
      </c>
      <c r="B84" s="2" t="s">
        <v>21</v>
      </c>
      <c r="C84" s="2" t="s">
        <v>20</v>
      </c>
      <c r="D84" s="2" t="s">
        <v>13</v>
      </c>
      <c r="E84" s="2">
        <v>0.98</v>
      </c>
      <c r="F84" s="2">
        <v>63.6</v>
      </c>
      <c r="G84" s="2">
        <v>1500</v>
      </c>
      <c r="H84" s="2">
        <v>2</v>
      </c>
      <c r="I84" s="2">
        <v>941</v>
      </c>
      <c r="J84" s="2">
        <v>23.6</v>
      </c>
    </row>
    <row r="85" spans="1:10" x14ac:dyDescent="0.3">
      <c r="A85" s="2" t="s">
        <v>39</v>
      </c>
      <c r="B85" s="2" t="s">
        <v>30</v>
      </c>
      <c r="C85" s="2" t="s">
        <v>25</v>
      </c>
      <c r="D85" s="2" t="s">
        <v>13</v>
      </c>
      <c r="E85" s="2">
        <v>0.98</v>
      </c>
      <c r="F85" s="2">
        <v>63.3</v>
      </c>
      <c r="G85" s="2">
        <v>2000</v>
      </c>
      <c r="H85" s="2">
        <v>4</v>
      </c>
      <c r="I85" s="2">
        <v>1373</v>
      </c>
      <c r="J85" s="2">
        <v>31.6</v>
      </c>
    </row>
    <row r="86" spans="1:10" x14ac:dyDescent="0.3">
      <c r="A86" s="2" t="s">
        <v>39</v>
      </c>
      <c r="B86" s="2" t="s">
        <v>11</v>
      </c>
      <c r="C86" s="2" t="s">
        <v>12</v>
      </c>
      <c r="D86" s="2" t="s">
        <v>13</v>
      </c>
      <c r="E86" s="2">
        <v>0.98</v>
      </c>
      <c r="F86" s="2">
        <v>60.4</v>
      </c>
      <c r="G86" s="2">
        <v>1500</v>
      </c>
      <c r="H86" s="2">
        <v>2</v>
      </c>
      <c r="I86" s="2">
        <v>965</v>
      </c>
      <c r="J86" s="2">
        <v>24.9</v>
      </c>
    </row>
    <row r="87" spans="1:10" x14ac:dyDescent="0.3">
      <c r="A87" s="2" t="s">
        <v>39</v>
      </c>
      <c r="B87" s="2" t="s">
        <v>31</v>
      </c>
      <c r="C87" s="2" t="s">
        <v>12</v>
      </c>
      <c r="D87" s="2" t="s">
        <v>13</v>
      </c>
      <c r="E87" s="2">
        <v>0.98</v>
      </c>
      <c r="F87" s="2">
        <v>60</v>
      </c>
      <c r="G87" s="2">
        <v>2250</v>
      </c>
      <c r="H87" s="2">
        <v>3</v>
      </c>
      <c r="I87" s="2">
        <v>1397</v>
      </c>
      <c r="J87" s="2">
        <v>37.5</v>
      </c>
    </row>
    <row r="88" spans="1:10" x14ac:dyDescent="0.3">
      <c r="A88" s="2" t="s">
        <v>39</v>
      </c>
      <c r="B88" s="2" t="s">
        <v>19</v>
      </c>
      <c r="C88" s="2" t="s">
        <v>20</v>
      </c>
      <c r="D88" s="2" t="s">
        <v>13</v>
      </c>
      <c r="E88" s="2">
        <v>0.98</v>
      </c>
      <c r="F88" s="2">
        <v>58.5</v>
      </c>
      <c r="G88" s="2">
        <v>1500</v>
      </c>
      <c r="H88" s="2">
        <v>2</v>
      </c>
      <c r="I88" s="2">
        <v>967</v>
      </c>
      <c r="J88" s="2">
        <v>25.6</v>
      </c>
    </row>
    <row r="89" spans="1:10" x14ac:dyDescent="0.3">
      <c r="A89" s="2" t="s">
        <v>39</v>
      </c>
      <c r="B89" s="2" t="s">
        <v>14</v>
      </c>
      <c r="C89" s="2" t="s">
        <v>15</v>
      </c>
      <c r="D89" s="2" t="s">
        <v>13</v>
      </c>
      <c r="E89" s="2">
        <v>0.98</v>
      </c>
      <c r="F89" s="2">
        <v>57.9</v>
      </c>
      <c r="G89" s="2">
        <v>2250</v>
      </c>
      <c r="H89" s="2">
        <v>3</v>
      </c>
      <c r="I89" s="2">
        <v>1139</v>
      </c>
      <c r="J89" s="2">
        <v>38.9</v>
      </c>
    </row>
    <row r="90" spans="1:10" x14ac:dyDescent="0.3">
      <c r="A90" s="2" t="s">
        <v>39</v>
      </c>
      <c r="B90" s="2" t="s">
        <v>34</v>
      </c>
      <c r="C90" s="2" t="s">
        <v>17</v>
      </c>
      <c r="D90" s="2" t="s">
        <v>13</v>
      </c>
      <c r="E90" s="2">
        <v>0.98</v>
      </c>
      <c r="F90" s="2">
        <v>57.8</v>
      </c>
      <c r="G90" s="2">
        <v>2250</v>
      </c>
      <c r="H90" s="2">
        <v>3</v>
      </c>
      <c r="I90" s="2">
        <v>1249</v>
      </c>
      <c r="J90" s="2">
        <v>38.9</v>
      </c>
    </row>
    <row r="91" spans="1:10" x14ac:dyDescent="0.3">
      <c r="A91" s="2" t="s">
        <v>39</v>
      </c>
      <c r="B91" s="2" t="s">
        <v>18</v>
      </c>
      <c r="C91" s="2" t="s">
        <v>12</v>
      </c>
      <c r="D91" s="2" t="s">
        <v>13</v>
      </c>
      <c r="E91" s="2">
        <v>0.98</v>
      </c>
      <c r="F91" s="2">
        <v>57.6</v>
      </c>
      <c r="G91" s="2">
        <v>2250</v>
      </c>
      <c r="H91" s="2">
        <v>3</v>
      </c>
      <c r="I91" s="2">
        <v>1183</v>
      </c>
      <c r="J91" s="2">
        <v>39</v>
      </c>
    </row>
    <row r="92" spans="1:10" x14ac:dyDescent="0.3">
      <c r="A92" s="2" t="s">
        <v>39</v>
      </c>
      <c r="B92" s="2" t="s">
        <v>22</v>
      </c>
      <c r="C92" s="2" t="s">
        <v>17</v>
      </c>
      <c r="D92" s="2" t="s">
        <v>28</v>
      </c>
      <c r="E92" s="2">
        <v>0.95</v>
      </c>
      <c r="F92" s="2">
        <v>56.8</v>
      </c>
      <c r="G92" s="2">
        <v>1500</v>
      </c>
      <c r="H92" s="2">
        <v>2</v>
      </c>
      <c r="I92" s="2">
        <v>839</v>
      </c>
      <c r="J92" s="2">
        <v>26.4</v>
      </c>
    </row>
    <row r="93" spans="1:10" x14ac:dyDescent="0.3">
      <c r="A93" s="2" t="s">
        <v>39</v>
      </c>
      <c r="B93" s="2" t="s">
        <v>23</v>
      </c>
      <c r="C93" s="2" t="s">
        <v>15</v>
      </c>
      <c r="D93" s="2" t="s">
        <v>28</v>
      </c>
      <c r="E93" s="2">
        <v>0.95</v>
      </c>
      <c r="F93" s="2">
        <v>49.9</v>
      </c>
      <c r="G93" s="2">
        <v>1500</v>
      </c>
      <c r="H93" s="2">
        <v>2</v>
      </c>
      <c r="I93" s="2">
        <v>1078</v>
      </c>
      <c r="J93" s="2">
        <v>30</v>
      </c>
    </row>
    <row r="94" spans="1:10" x14ac:dyDescent="0.3">
      <c r="A94" s="2" t="s">
        <v>39</v>
      </c>
      <c r="B94" s="2" t="s">
        <v>24</v>
      </c>
      <c r="C94" s="2" t="s">
        <v>25</v>
      </c>
      <c r="D94" s="2" t="s">
        <v>28</v>
      </c>
      <c r="E94" s="2">
        <v>0.95</v>
      </c>
      <c r="F94" s="2">
        <v>48.9</v>
      </c>
      <c r="G94" s="2">
        <v>1500</v>
      </c>
      <c r="H94" s="2">
        <v>3</v>
      </c>
      <c r="I94" s="2">
        <v>1041</v>
      </c>
      <c r="J94" s="2">
        <v>30.6</v>
      </c>
    </row>
    <row r="95" spans="1:10" x14ac:dyDescent="0.3">
      <c r="A95" s="2" t="s">
        <v>39</v>
      </c>
      <c r="B95" s="2" t="s">
        <v>26</v>
      </c>
      <c r="C95" s="2" t="s">
        <v>15</v>
      </c>
      <c r="D95" s="2" t="s">
        <v>28</v>
      </c>
      <c r="E95" s="2">
        <v>0.95</v>
      </c>
      <c r="F95" s="2">
        <v>48.9</v>
      </c>
      <c r="G95" s="2">
        <v>1500</v>
      </c>
      <c r="H95" s="2">
        <v>2</v>
      </c>
      <c r="I95" s="2">
        <v>993</v>
      </c>
      <c r="J95" s="2">
        <v>30.7</v>
      </c>
    </row>
    <row r="96" spans="1:10" x14ac:dyDescent="0.3">
      <c r="A96" s="2" t="s">
        <v>39</v>
      </c>
      <c r="B96" s="2" t="s">
        <v>29</v>
      </c>
      <c r="C96" s="2" t="s">
        <v>25</v>
      </c>
      <c r="D96" s="2" t="s">
        <v>32</v>
      </c>
      <c r="E96" s="2">
        <v>0.9</v>
      </c>
      <c r="F96" s="2">
        <v>48.1</v>
      </c>
      <c r="G96" s="2">
        <v>1000</v>
      </c>
      <c r="H96" s="2">
        <v>2</v>
      </c>
      <c r="I96" s="2">
        <v>560</v>
      </c>
      <c r="J96" s="2">
        <v>20.8</v>
      </c>
    </row>
    <row r="97" spans="1:10" x14ac:dyDescent="0.3">
      <c r="A97" s="2" t="s">
        <v>39</v>
      </c>
      <c r="B97" s="2" t="s">
        <v>33</v>
      </c>
      <c r="C97" s="2" t="s">
        <v>25</v>
      </c>
      <c r="D97" s="2" t="s">
        <v>32</v>
      </c>
      <c r="E97" s="2">
        <v>0.9</v>
      </c>
      <c r="F97" s="2">
        <v>46.8</v>
      </c>
      <c r="G97" s="2">
        <v>1000</v>
      </c>
      <c r="H97" s="2">
        <v>2</v>
      </c>
      <c r="I97" s="2">
        <v>629</v>
      </c>
      <c r="J97" s="2">
        <v>21.4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8" customWidth="1"/>
    <col min="5" max="5" width="20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</row>
    <row r="2" spans="1:5" x14ac:dyDescent="0.3">
      <c r="A2" s="2" t="s">
        <v>10</v>
      </c>
      <c r="B2" s="2">
        <f>COUNTIF('Raw Data'!A:A,A2)</f>
        <v>16</v>
      </c>
      <c r="C2" s="2">
        <f>ROUND(SUMIF('Raw Data'!A:A,A2,'Raw Data'!G:G),0)</f>
        <v>30750</v>
      </c>
      <c r="D2" s="2">
        <f>ROUND(SUMIF('Raw Data'!A:A,A2,'Raw Data'!H:H),0)</f>
        <v>45</v>
      </c>
      <c r="E2" s="2">
        <f>ROUND(AVERAGEIF('Raw Data'!A:A,A2,'Raw Data'!J:J),1)</f>
        <v>32.299999999999997</v>
      </c>
    </row>
    <row r="3" spans="1:5" x14ac:dyDescent="0.3">
      <c r="A3" s="2" t="s">
        <v>35</v>
      </c>
      <c r="B3" s="2">
        <f>COUNTIF('Raw Data'!A:A,A3)</f>
        <v>16</v>
      </c>
      <c r="C3" s="2">
        <f>ROUND(SUMIF('Raw Data'!A:A,A3,'Raw Data'!G:G),0)</f>
        <v>26500</v>
      </c>
      <c r="D3" s="2">
        <f>ROUND(SUMIF('Raw Data'!A:A,A3,'Raw Data'!H:H),0)</f>
        <v>39</v>
      </c>
      <c r="E3" s="2">
        <f>ROUND(AVERAGEIF('Raw Data'!A:A,A3,'Raw Data'!J:J),1)</f>
        <v>28.6</v>
      </c>
    </row>
    <row r="4" spans="1:5" x14ac:dyDescent="0.3">
      <c r="A4" s="2" t="s">
        <v>36</v>
      </c>
      <c r="B4" s="2">
        <f>COUNTIF('Raw Data'!A:A,A4)</f>
        <v>16</v>
      </c>
      <c r="C4" s="2">
        <f>ROUND(SUMIF('Raw Data'!A:A,A4,'Raw Data'!G:G),0)</f>
        <v>30000</v>
      </c>
      <c r="D4" s="2">
        <f>ROUND(SUMIF('Raw Data'!A:A,A4,'Raw Data'!H:H),0)</f>
        <v>44</v>
      </c>
      <c r="E4" s="2">
        <f>ROUND(AVERAGEIF('Raw Data'!A:A,A4,'Raw Data'!J:J),1)</f>
        <v>31.6</v>
      </c>
    </row>
    <row r="5" spans="1:5" x14ac:dyDescent="0.3">
      <c r="A5" s="2" t="s">
        <v>37</v>
      </c>
      <c r="B5" s="2">
        <f>COUNTIF('Raw Data'!A:A,A5)</f>
        <v>16</v>
      </c>
      <c r="C5" s="2">
        <f>ROUND(SUMIF('Raw Data'!A:A,A5,'Raw Data'!G:G),0)</f>
        <v>30000</v>
      </c>
      <c r="D5" s="2">
        <f>ROUND(SUMIF('Raw Data'!A:A,A5,'Raw Data'!H:H),0)</f>
        <v>44</v>
      </c>
      <c r="E5" s="2">
        <f>ROUND(AVERAGEIF('Raw Data'!A:A,A5,'Raw Data'!J:J),1)</f>
        <v>32.4</v>
      </c>
    </row>
    <row r="6" spans="1:5" x14ac:dyDescent="0.3">
      <c r="A6" s="2" t="s">
        <v>38</v>
      </c>
      <c r="B6" s="2">
        <f>COUNTIF('Raw Data'!A:A,A6)</f>
        <v>16</v>
      </c>
      <c r="C6" s="2">
        <f>ROUND(SUMIF('Raw Data'!A:A,A6,'Raw Data'!G:G),0)</f>
        <v>29250</v>
      </c>
      <c r="D6" s="2">
        <f>ROUND(SUMIF('Raw Data'!A:A,A6,'Raw Data'!H:H),0)</f>
        <v>43</v>
      </c>
      <c r="E6" s="2">
        <f>ROUND(AVERAGEIF('Raw Data'!A:A,A6,'Raw Data'!J:J),1)</f>
        <v>31.7</v>
      </c>
    </row>
    <row r="7" spans="1:5" x14ac:dyDescent="0.3">
      <c r="A7" s="2" t="s">
        <v>39</v>
      </c>
      <c r="B7" s="2">
        <f>COUNTIF('Raw Data'!A:A,A7)</f>
        <v>16</v>
      </c>
      <c r="C7" s="2">
        <f>ROUND(SUMIF('Raw Data'!A:A,A7,'Raw Data'!G:G),0)</f>
        <v>28000</v>
      </c>
      <c r="D7" s="2">
        <f>ROUND(SUMIF('Raw Data'!A:A,A7,'Raw Data'!H:H),0)</f>
        <v>41</v>
      </c>
      <c r="E7" s="2">
        <f>ROUND(AVERAGEIF('Raw Data'!A:A,A7,'Raw Data'!J:J),1)</f>
        <v>30.6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/>
  </sheetViews>
  <sheetFormatPr defaultColWidth="8.6640625" defaultRowHeight="14.4" x14ac:dyDescent="0.3"/>
  <cols>
    <col min="1" max="2" width="12" customWidth="1"/>
    <col min="3" max="3" width="20" customWidth="1"/>
    <col min="4" max="4" width="16" customWidth="1"/>
  </cols>
  <sheetData>
    <row r="1" spans="1:4" x14ac:dyDescent="0.3">
      <c r="A1" s="3" t="s">
        <v>45</v>
      </c>
      <c r="B1" s="3" t="s">
        <v>41</v>
      </c>
      <c r="C1" s="3" t="s">
        <v>46</v>
      </c>
      <c r="D1" s="3" t="s">
        <v>47</v>
      </c>
    </row>
    <row r="2" spans="1:4" x14ac:dyDescent="0.3">
      <c r="A2" s="2" t="s">
        <v>13</v>
      </c>
      <c r="B2" s="2">
        <f>COUNTIF('Raw Data'!D:D,A2)</f>
        <v>60</v>
      </c>
      <c r="C2" s="2">
        <f>ROUND(SUMIF('Raw Data'!D:D,A2,'Raw Data'!G:G),0)</f>
        <v>122500</v>
      </c>
      <c r="D2" s="4">
        <f>C2/SUM($C$2:$C$4)</f>
        <v>0.70200573065902583</v>
      </c>
    </row>
    <row r="3" spans="1:4" x14ac:dyDescent="0.3">
      <c r="A3" s="2" t="s">
        <v>28</v>
      </c>
      <c r="B3" s="2">
        <f>COUNTIF('Raw Data'!D:D,A3)</f>
        <v>23</v>
      </c>
      <c r="C3" s="2">
        <f>ROUND(SUMIF('Raw Data'!D:D,A3,'Raw Data'!G:G),0)</f>
        <v>36000</v>
      </c>
      <c r="D3" s="4">
        <f>C3/SUM($C$2:$C$4)</f>
        <v>0.20630372492836677</v>
      </c>
    </row>
    <row r="4" spans="1:4" x14ac:dyDescent="0.3">
      <c r="A4" s="2" t="s">
        <v>32</v>
      </c>
      <c r="B4" s="2">
        <f>COUNTIF('Raw Data'!D:D,A4)</f>
        <v>13</v>
      </c>
      <c r="C4" s="2">
        <f>ROUND(SUMIF('Raw Data'!D:D,A4,'Raw Data'!G:G),0)</f>
        <v>16000</v>
      </c>
      <c r="D4" s="4">
        <f>C4/SUM($C$2:$C$4)</f>
        <v>9.1690544412607447E-2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22" customWidth="1"/>
    <col min="3" max="3" width="18" customWidth="1"/>
    <col min="4" max="4" width="12" customWidth="1"/>
  </cols>
  <sheetData>
    <row r="1" spans="1:4" x14ac:dyDescent="0.3">
      <c r="A1" s="3" t="s">
        <v>48</v>
      </c>
      <c r="B1" s="3" t="s">
        <v>49</v>
      </c>
      <c r="C1" s="3" t="s">
        <v>44</v>
      </c>
      <c r="D1" s="3" t="s">
        <v>41</v>
      </c>
    </row>
    <row r="2" spans="1:4" x14ac:dyDescent="0.3">
      <c r="A2" s="2" t="s">
        <v>25</v>
      </c>
      <c r="B2" s="2">
        <f>ROUND(AVERAGEIF('Raw Data'!C:C,A2,'Raw Data'!F:F),1)</f>
        <v>53.1</v>
      </c>
      <c r="C2" s="2">
        <f>ROUND(AVERAGEIF('Raw Data'!C:C,A2,'Raw Data'!J:J),1)</f>
        <v>27.2</v>
      </c>
      <c r="D2" s="2">
        <f>COUNTIF('Raw Data'!C:C,A2)</f>
        <v>24</v>
      </c>
    </row>
    <row r="3" spans="1:4" x14ac:dyDescent="0.3">
      <c r="A3" s="2" t="s">
        <v>12</v>
      </c>
      <c r="B3" s="2">
        <f>ROUND(AVERAGEIF('Raw Data'!C:C,A3,'Raw Data'!F:F),1)</f>
        <v>59.7</v>
      </c>
      <c r="C3" s="2">
        <f>ROUND(AVERAGEIF('Raw Data'!C:C,A3,'Raw Data'!J:J),1)</f>
        <v>33.4</v>
      </c>
      <c r="D3" s="2">
        <f>COUNTIF('Raw Data'!C:C,A3)</f>
        <v>18</v>
      </c>
    </row>
    <row r="4" spans="1:4" x14ac:dyDescent="0.3">
      <c r="A4" s="2" t="s">
        <v>17</v>
      </c>
      <c r="B4" s="2">
        <f>ROUND(AVERAGEIF('Raw Data'!C:C,A4,'Raw Data'!F:F),1)</f>
        <v>60.2</v>
      </c>
      <c r="C4" s="2">
        <f>ROUND(AVERAGEIF('Raw Data'!C:C,A4,'Raw Data'!J:J),1)</f>
        <v>33.200000000000003</v>
      </c>
      <c r="D4" s="2">
        <f>COUNTIF('Raw Data'!C:C,A4)</f>
        <v>18</v>
      </c>
    </row>
    <row r="5" spans="1:4" x14ac:dyDescent="0.3">
      <c r="A5" s="2" t="s">
        <v>20</v>
      </c>
      <c r="B5" s="2">
        <f>ROUND(AVERAGEIF('Raw Data'!C:C,A5,'Raw Data'!F:F),1)</f>
        <v>59.4</v>
      </c>
      <c r="C5" s="2">
        <f>ROUND(AVERAGEIF('Raw Data'!C:C,A5,'Raw Data'!J:J),1)</f>
        <v>29.4</v>
      </c>
      <c r="D5" s="2">
        <f>COUNTIF('Raw Data'!C:C,A5)</f>
        <v>18</v>
      </c>
    </row>
    <row r="6" spans="1:4" x14ac:dyDescent="0.3">
      <c r="A6" s="2" t="s">
        <v>15</v>
      </c>
      <c r="B6" s="2">
        <f>ROUND(AVERAGEIF('Raw Data'!C:C,A6,'Raw Data'!F:F),1)</f>
        <v>58.4</v>
      </c>
      <c r="C6" s="2">
        <f>ROUND(AVERAGEIF('Raw Data'!C:C,A6,'Raw Data'!J:J),1)</f>
        <v>34.200000000000003</v>
      </c>
      <c r="D6" s="2">
        <f>COUNTIF('Raw Data'!C:C,A6)</f>
        <v>18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6" customWidth="1"/>
    <col min="3" max="3" width="14" customWidth="1"/>
    <col min="4" max="4" width="8" customWidth="1"/>
    <col min="5" max="6" width="14" customWidth="1"/>
  </cols>
  <sheetData>
    <row r="1" spans="1:6" x14ac:dyDescent="0.3">
      <c r="A1" s="3" t="s">
        <v>50</v>
      </c>
      <c r="B1" s="3" t="s">
        <v>40</v>
      </c>
      <c r="C1" s="3" t="s">
        <v>51</v>
      </c>
      <c r="D1" s="3" t="s">
        <v>52</v>
      </c>
      <c r="E1" s="3" t="s">
        <v>53</v>
      </c>
      <c r="F1" s="3" t="s">
        <v>54</v>
      </c>
    </row>
    <row r="2" spans="1:6" x14ac:dyDescent="0.3">
      <c r="A2" s="2" t="s">
        <v>55</v>
      </c>
      <c r="B2" s="2" t="s">
        <v>10</v>
      </c>
      <c r="C2" s="2" t="s">
        <v>24</v>
      </c>
      <c r="D2" s="2" t="s">
        <v>13</v>
      </c>
      <c r="E2" s="2">
        <v>4</v>
      </c>
      <c r="F2" s="2">
        <v>33.1</v>
      </c>
    </row>
    <row r="3" spans="1:6" x14ac:dyDescent="0.3">
      <c r="A3" s="2" t="s">
        <v>56</v>
      </c>
      <c r="B3" s="2" t="s">
        <v>39</v>
      </c>
      <c r="C3" s="2" t="s">
        <v>30</v>
      </c>
      <c r="D3" s="2" t="s">
        <v>13</v>
      </c>
      <c r="E3" s="2">
        <v>4</v>
      </c>
      <c r="F3" s="2">
        <v>31.6</v>
      </c>
    </row>
    <row r="4" spans="1:6" x14ac:dyDescent="0.3">
      <c r="A4" s="2" t="s">
        <v>57</v>
      </c>
      <c r="B4" s="2" t="s">
        <v>37</v>
      </c>
      <c r="C4" s="2" t="s">
        <v>30</v>
      </c>
      <c r="D4" s="2" t="s">
        <v>13</v>
      </c>
      <c r="E4" s="2">
        <v>4</v>
      </c>
      <c r="F4" s="2">
        <v>33.700000000000003</v>
      </c>
    </row>
    <row r="5" spans="1:6" x14ac:dyDescent="0.3">
      <c r="A5" s="2" t="s">
        <v>58</v>
      </c>
      <c r="B5" s="2" t="s">
        <v>36</v>
      </c>
      <c r="C5" s="2" t="s">
        <v>33</v>
      </c>
      <c r="D5" s="2" t="s">
        <v>13</v>
      </c>
      <c r="E5" s="2">
        <v>4</v>
      </c>
      <c r="F5" s="2">
        <v>35.200000000000003</v>
      </c>
    </row>
    <row r="6" spans="1:6" x14ac:dyDescent="0.3">
      <c r="A6" s="2" t="s">
        <v>59</v>
      </c>
      <c r="B6" s="2" t="s">
        <v>38</v>
      </c>
      <c r="C6" s="2" t="s">
        <v>33</v>
      </c>
      <c r="D6" s="2" t="s">
        <v>13</v>
      </c>
      <c r="E6" s="2">
        <v>4</v>
      </c>
      <c r="F6" s="2">
        <v>31.2</v>
      </c>
    </row>
    <row r="7" spans="1:6" x14ac:dyDescent="0.3">
      <c r="A7" s="2" t="s">
        <v>60</v>
      </c>
      <c r="B7" s="2" t="s">
        <v>10</v>
      </c>
      <c r="C7" s="2" t="s">
        <v>11</v>
      </c>
      <c r="D7" s="2" t="s">
        <v>13</v>
      </c>
      <c r="E7" s="2">
        <v>3</v>
      </c>
      <c r="F7" s="2">
        <v>33.1</v>
      </c>
    </row>
    <row r="8" spans="1:6" x14ac:dyDescent="0.3">
      <c r="A8" s="2" t="s">
        <v>61</v>
      </c>
      <c r="B8" s="2" t="s">
        <v>10</v>
      </c>
      <c r="C8" s="2" t="s">
        <v>16</v>
      </c>
      <c r="D8" s="2" t="s">
        <v>13</v>
      </c>
      <c r="E8" s="2">
        <v>3</v>
      </c>
      <c r="F8" s="2">
        <v>34.5</v>
      </c>
    </row>
    <row r="9" spans="1:6" x14ac:dyDescent="0.3">
      <c r="A9" s="2" t="s">
        <v>62</v>
      </c>
      <c r="B9" s="2" t="s">
        <v>10</v>
      </c>
      <c r="C9" s="2" t="s">
        <v>14</v>
      </c>
      <c r="D9" s="2" t="s">
        <v>13</v>
      </c>
      <c r="E9" s="2">
        <v>3</v>
      </c>
      <c r="F9" s="2">
        <v>34</v>
      </c>
    </row>
    <row r="10" spans="1:6" x14ac:dyDescent="0.3">
      <c r="A10" s="2" t="s">
        <v>63</v>
      </c>
      <c r="B10" s="2" t="s">
        <v>10</v>
      </c>
      <c r="C10" s="2" t="s">
        <v>23</v>
      </c>
      <c r="D10" s="2" t="s">
        <v>13</v>
      </c>
      <c r="E10" s="2">
        <v>3</v>
      </c>
      <c r="F10" s="2">
        <v>37</v>
      </c>
    </row>
    <row r="11" spans="1:6" x14ac:dyDescent="0.3">
      <c r="A11" s="2" t="s">
        <v>64</v>
      </c>
      <c r="B11" s="2" t="s">
        <v>10</v>
      </c>
      <c r="C11" s="2" t="s">
        <v>26</v>
      </c>
      <c r="D11" s="2" t="s">
        <v>13</v>
      </c>
      <c r="E11" s="2">
        <v>3</v>
      </c>
      <c r="F11" s="2">
        <v>37.6</v>
      </c>
    </row>
    <row r="12" spans="1:6" x14ac:dyDescent="0.3">
      <c r="A12" s="2" t="s">
        <v>65</v>
      </c>
      <c r="B12" s="2" t="s">
        <v>10</v>
      </c>
      <c r="C12" s="2" t="s">
        <v>29</v>
      </c>
      <c r="D12" s="2" t="s">
        <v>28</v>
      </c>
      <c r="E12" s="2">
        <v>3</v>
      </c>
      <c r="F12" s="2">
        <v>26.8</v>
      </c>
    </row>
    <row r="13" spans="1:6" x14ac:dyDescent="0.3">
      <c r="A13" s="2" t="s">
        <v>66</v>
      </c>
      <c r="B13" s="2" t="s">
        <v>10</v>
      </c>
      <c r="C13" s="2" t="s">
        <v>30</v>
      </c>
      <c r="D13" s="2" t="s">
        <v>28</v>
      </c>
      <c r="E13" s="2">
        <v>3</v>
      </c>
      <c r="F13" s="2">
        <v>26.9</v>
      </c>
    </row>
    <row r="14" spans="1:6" x14ac:dyDescent="0.3">
      <c r="A14" s="2" t="s">
        <v>67</v>
      </c>
      <c r="B14" s="2" t="s">
        <v>10</v>
      </c>
      <c r="C14" s="2" t="s">
        <v>19</v>
      </c>
      <c r="D14" s="2" t="s">
        <v>13</v>
      </c>
      <c r="E14" s="2">
        <v>3</v>
      </c>
      <c r="F14" s="2">
        <v>35.5</v>
      </c>
    </row>
    <row r="15" spans="1:6" x14ac:dyDescent="0.3">
      <c r="A15" s="2" t="s">
        <v>68</v>
      </c>
      <c r="B15" s="2" t="s">
        <v>10</v>
      </c>
      <c r="C15" s="2" t="s">
        <v>21</v>
      </c>
      <c r="D15" s="2" t="s">
        <v>13</v>
      </c>
      <c r="E15" s="2">
        <v>3</v>
      </c>
      <c r="F15" s="2">
        <v>35.9</v>
      </c>
    </row>
    <row r="16" spans="1:6" x14ac:dyDescent="0.3">
      <c r="A16" s="2" t="s">
        <v>69</v>
      </c>
      <c r="B16" s="2" t="s">
        <v>10</v>
      </c>
      <c r="C16" s="2" t="s">
        <v>22</v>
      </c>
      <c r="D16" s="2" t="s">
        <v>13</v>
      </c>
      <c r="E16" s="2">
        <v>3</v>
      </c>
      <c r="F16" s="2">
        <v>36.700000000000003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7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20" customWidth="1"/>
    <col min="3" max="3" width="12" customWidth="1"/>
    <col min="4" max="4" width="8" customWidth="1"/>
  </cols>
  <sheetData>
    <row r="1" spans="1:4" x14ac:dyDescent="0.3">
      <c r="A1" s="3" t="s">
        <v>50</v>
      </c>
      <c r="B1" s="3" t="s">
        <v>70</v>
      </c>
      <c r="C1" s="3" t="s">
        <v>71</v>
      </c>
      <c r="D1" s="3" t="s">
        <v>52</v>
      </c>
    </row>
    <row r="2" spans="1:4" x14ac:dyDescent="0.3">
      <c r="A2" s="2" t="s">
        <v>60</v>
      </c>
      <c r="B2" s="2">
        <v>67.900000000000006</v>
      </c>
      <c r="C2" s="2">
        <v>2250</v>
      </c>
      <c r="D2" s="2" t="s">
        <v>13</v>
      </c>
    </row>
    <row r="3" spans="1:4" x14ac:dyDescent="0.3">
      <c r="A3" s="2" t="s">
        <v>62</v>
      </c>
      <c r="B3" s="2">
        <v>66.2</v>
      </c>
      <c r="C3" s="2">
        <v>2250</v>
      </c>
      <c r="D3" s="2" t="s">
        <v>13</v>
      </c>
    </row>
    <row r="4" spans="1:4" x14ac:dyDescent="0.3">
      <c r="A4" s="2" t="s">
        <v>61</v>
      </c>
      <c r="B4" s="2">
        <v>65.2</v>
      </c>
      <c r="C4" s="2">
        <v>2250</v>
      </c>
      <c r="D4" s="2" t="s">
        <v>13</v>
      </c>
    </row>
    <row r="5" spans="1:4" x14ac:dyDescent="0.3">
      <c r="A5" s="2" t="s">
        <v>72</v>
      </c>
      <c r="B5" s="2">
        <v>64.5</v>
      </c>
      <c r="C5" s="2">
        <v>2250</v>
      </c>
      <c r="D5" s="2" t="s">
        <v>13</v>
      </c>
    </row>
    <row r="6" spans="1:4" x14ac:dyDescent="0.3">
      <c r="A6" s="2" t="s">
        <v>67</v>
      </c>
      <c r="B6" s="2">
        <v>63.4</v>
      </c>
      <c r="C6" s="2">
        <v>2250</v>
      </c>
      <c r="D6" s="2" t="s">
        <v>13</v>
      </c>
    </row>
    <row r="7" spans="1:4" x14ac:dyDescent="0.3">
      <c r="A7" s="2" t="s">
        <v>68</v>
      </c>
      <c r="B7" s="2">
        <v>62.7</v>
      </c>
      <c r="C7" s="2">
        <v>2250</v>
      </c>
      <c r="D7" s="2" t="s">
        <v>13</v>
      </c>
    </row>
    <row r="8" spans="1:4" x14ac:dyDescent="0.3">
      <c r="A8" s="2" t="s">
        <v>69</v>
      </c>
      <c r="B8" s="2">
        <v>61.3</v>
      </c>
      <c r="C8" s="2">
        <v>2250</v>
      </c>
      <c r="D8" s="2" t="s">
        <v>13</v>
      </c>
    </row>
    <row r="9" spans="1:4" x14ac:dyDescent="0.3">
      <c r="A9" s="2" t="s">
        <v>63</v>
      </c>
      <c r="B9" s="2">
        <v>60.8</v>
      </c>
      <c r="C9" s="2">
        <v>2250</v>
      </c>
      <c r="D9" s="2" t="s">
        <v>13</v>
      </c>
    </row>
    <row r="10" spans="1:4" x14ac:dyDescent="0.3">
      <c r="A10" s="2" t="s">
        <v>55</v>
      </c>
      <c r="B10" s="2">
        <v>60.5</v>
      </c>
      <c r="C10" s="2">
        <v>2000</v>
      </c>
      <c r="D10" s="2" t="s">
        <v>13</v>
      </c>
    </row>
    <row r="11" spans="1:4" x14ac:dyDescent="0.3">
      <c r="A11" s="2" t="s">
        <v>64</v>
      </c>
      <c r="B11" s="2">
        <v>59.8</v>
      </c>
      <c r="C11" s="2">
        <v>2250</v>
      </c>
      <c r="D11" s="2" t="s">
        <v>13</v>
      </c>
    </row>
    <row r="12" spans="1:4" x14ac:dyDescent="0.3">
      <c r="A12" s="2" t="s">
        <v>73</v>
      </c>
      <c r="B12" s="2">
        <v>56.9</v>
      </c>
      <c r="C12" s="2">
        <v>1500</v>
      </c>
      <c r="D12" s="2" t="s">
        <v>28</v>
      </c>
    </row>
    <row r="13" spans="1:4" x14ac:dyDescent="0.3">
      <c r="A13" s="2" t="s">
        <v>65</v>
      </c>
      <c r="B13" s="2">
        <v>55.9</v>
      </c>
      <c r="C13" s="2">
        <v>1500</v>
      </c>
      <c r="D13" s="2" t="s">
        <v>28</v>
      </c>
    </row>
    <row r="14" spans="1:4" x14ac:dyDescent="0.3">
      <c r="A14" s="2" t="s">
        <v>66</v>
      </c>
      <c r="B14" s="2">
        <v>55.9</v>
      </c>
      <c r="C14" s="2">
        <v>1500</v>
      </c>
      <c r="D14" s="2" t="s">
        <v>28</v>
      </c>
    </row>
    <row r="15" spans="1:4" x14ac:dyDescent="0.3">
      <c r="A15" s="2" t="s">
        <v>74</v>
      </c>
      <c r="B15" s="2">
        <v>49.2</v>
      </c>
      <c r="C15" s="2">
        <v>1500</v>
      </c>
      <c r="D15" s="2" t="s">
        <v>32</v>
      </c>
    </row>
    <row r="16" spans="1:4" x14ac:dyDescent="0.3">
      <c r="A16" s="2" t="s">
        <v>75</v>
      </c>
      <c r="B16" s="2">
        <v>47.7</v>
      </c>
      <c r="C16" s="2">
        <v>1000</v>
      </c>
      <c r="D16" s="2" t="s">
        <v>32</v>
      </c>
    </row>
    <row r="17" spans="1:4" x14ac:dyDescent="0.3">
      <c r="A17" s="2" t="s">
        <v>76</v>
      </c>
      <c r="B17" s="2">
        <v>45.8</v>
      </c>
      <c r="C17" s="2">
        <v>1500</v>
      </c>
      <c r="D17" s="2" t="s">
        <v>32</v>
      </c>
    </row>
    <row r="18" spans="1:4" x14ac:dyDescent="0.3">
      <c r="A18" s="2" t="s">
        <v>77</v>
      </c>
      <c r="B18" s="2">
        <v>69.2</v>
      </c>
      <c r="C18" s="2">
        <v>2250</v>
      </c>
      <c r="D18" s="2" t="s">
        <v>13</v>
      </c>
    </row>
    <row r="19" spans="1:4" x14ac:dyDescent="0.3">
      <c r="A19" s="2" t="s">
        <v>78</v>
      </c>
      <c r="B19" s="2">
        <v>65.900000000000006</v>
      </c>
      <c r="C19" s="2">
        <v>2250</v>
      </c>
      <c r="D19" s="2" t="s">
        <v>13</v>
      </c>
    </row>
    <row r="20" spans="1:4" x14ac:dyDescent="0.3">
      <c r="A20" s="2" t="s">
        <v>79</v>
      </c>
      <c r="B20" s="2">
        <v>63.3</v>
      </c>
      <c r="C20" s="2">
        <v>2250</v>
      </c>
      <c r="D20" s="2" t="s">
        <v>13</v>
      </c>
    </row>
    <row r="21" spans="1:4" x14ac:dyDescent="0.3">
      <c r="A21" s="2" t="s">
        <v>80</v>
      </c>
      <c r="B21" s="2">
        <v>61.5</v>
      </c>
      <c r="C21" s="2">
        <v>1500</v>
      </c>
      <c r="D21" s="2" t="s">
        <v>13</v>
      </c>
    </row>
    <row r="22" spans="1:4" x14ac:dyDescent="0.3">
      <c r="A22" s="2" t="s">
        <v>81</v>
      </c>
      <c r="B22" s="2">
        <v>60.1</v>
      </c>
      <c r="C22" s="2">
        <v>1500</v>
      </c>
      <c r="D22" s="2" t="s">
        <v>13</v>
      </c>
    </row>
    <row r="23" spans="1:4" x14ac:dyDescent="0.3">
      <c r="A23" s="2" t="s">
        <v>82</v>
      </c>
      <c r="B23" s="2">
        <v>59.6</v>
      </c>
      <c r="C23" s="2">
        <v>1500</v>
      </c>
      <c r="D23" s="2" t="s">
        <v>13</v>
      </c>
    </row>
    <row r="24" spans="1:4" x14ac:dyDescent="0.3">
      <c r="A24" s="2" t="s">
        <v>83</v>
      </c>
      <c r="B24" s="2">
        <v>59.6</v>
      </c>
      <c r="C24" s="2">
        <v>1500</v>
      </c>
      <c r="D24" s="2" t="s">
        <v>13</v>
      </c>
    </row>
    <row r="25" spans="1:4" x14ac:dyDescent="0.3">
      <c r="A25" s="2" t="s">
        <v>84</v>
      </c>
      <c r="B25" s="2">
        <v>57.6</v>
      </c>
      <c r="C25" s="2">
        <v>1500</v>
      </c>
      <c r="D25" s="2" t="s">
        <v>13</v>
      </c>
    </row>
    <row r="26" spans="1:4" x14ac:dyDescent="0.3">
      <c r="A26" s="2" t="s">
        <v>85</v>
      </c>
      <c r="B26" s="2">
        <v>56.4</v>
      </c>
      <c r="C26" s="2">
        <v>2250</v>
      </c>
      <c r="D26" s="2" t="s">
        <v>13</v>
      </c>
    </row>
    <row r="27" spans="1:4" x14ac:dyDescent="0.3">
      <c r="A27" s="2" t="s">
        <v>86</v>
      </c>
      <c r="B27" s="2">
        <v>54.8</v>
      </c>
      <c r="C27" s="2">
        <v>1500</v>
      </c>
      <c r="D27" s="2" t="s">
        <v>13</v>
      </c>
    </row>
    <row r="28" spans="1:4" x14ac:dyDescent="0.3">
      <c r="A28" s="2" t="s">
        <v>87</v>
      </c>
      <c r="B28" s="2">
        <v>54.7</v>
      </c>
      <c r="C28" s="2">
        <v>1500</v>
      </c>
      <c r="D28" s="2" t="s">
        <v>28</v>
      </c>
    </row>
    <row r="29" spans="1:4" x14ac:dyDescent="0.3">
      <c r="A29" s="2" t="s">
        <v>88</v>
      </c>
      <c r="B29" s="2">
        <v>53.6</v>
      </c>
      <c r="C29" s="2">
        <v>1500</v>
      </c>
      <c r="D29" s="2" t="s">
        <v>28</v>
      </c>
    </row>
    <row r="30" spans="1:4" x14ac:dyDescent="0.3">
      <c r="A30" s="2" t="s">
        <v>89</v>
      </c>
      <c r="B30" s="2">
        <v>53.3</v>
      </c>
      <c r="C30" s="2">
        <v>1500</v>
      </c>
      <c r="D30" s="2" t="s">
        <v>28</v>
      </c>
    </row>
    <row r="31" spans="1:4" x14ac:dyDescent="0.3">
      <c r="A31" s="2" t="s">
        <v>90</v>
      </c>
      <c r="B31" s="2">
        <v>52.6</v>
      </c>
      <c r="C31" s="2">
        <v>1500</v>
      </c>
      <c r="D31" s="2" t="s">
        <v>28</v>
      </c>
    </row>
    <row r="32" spans="1:4" x14ac:dyDescent="0.3">
      <c r="A32" s="2" t="s">
        <v>91</v>
      </c>
      <c r="B32" s="2">
        <v>52</v>
      </c>
      <c r="C32" s="2">
        <v>1500</v>
      </c>
      <c r="D32" s="2" t="s">
        <v>32</v>
      </c>
    </row>
    <row r="33" spans="1:4" x14ac:dyDescent="0.3">
      <c r="A33" s="2" t="s">
        <v>92</v>
      </c>
      <c r="B33" s="2">
        <v>45.7</v>
      </c>
      <c r="C33" s="2">
        <v>1000</v>
      </c>
      <c r="D33" s="2" t="s">
        <v>32</v>
      </c>
    </row>
    <row r="34" spans="1:4" x14ac:dyDescent="0.3">
      <c r="A34" s="2" t="s">
        <v>93</v>
      </c>
      <c r="B34" s="2">
        <v>68.3</v>
      </c>
      <c r="C34" s="2">
        <v>2250</v>
      </c>
      <c r="D34" s="2" t="s">
        <v>13</v>
      </c>
    </row>
    <row r="35" spans="1:4" x14ac:dyDescent="0.3">
      <c r="A35" s="2" t="s">
        <v>94</v>
      </c>
      <c r="B35" s="2">
        <v>67.900000000000006</v>
      </c>
      <c r="C35" s="2">
        <v>2250</v>
      </c>
      <c r="D35" s="2" t="s">
        <v>13</v>
      </c>
    </row>
    <row r="36" spans="1:4" x14ac:dyDescent="0.3">
      <c r="A36" s="2" t="s">
        <v>95</v>
      </c>
      <c r="B36" s="2">
        <v>66.7</v>
      </c>
      <c r="C36" s="2">
        <v>2250</v>
      </c>
      <c r="D36" s="2" t="s">
        <v>13</v>
      </c>
    </row>
    <row r="37" spans="1:4" x14ac:dyDescent="0.3">
      <c r="A37" s="2" t="s">
        <v>96</v>
      </c>
      <c r="B37" s="2">
        <v>65</v>
      </c>
      <c r="C37" s="2">
        <v>2250</v>
      </c>
      <c r="D37" s="2" t="s">
        <v>13</v>
      </c>
    </row>
    <row r="38" spans="1:4" x14ac:dyDescent="0.3">
      <c r="A38" s="2" t="s">
        <v>97</v>
      </c>
      <c r="B38" s="2">
        <v>63.7</v>
      </c>
      <c r="C38" s="2">
        <v>2250</v>
      </c>
      <c r="D38" s="2" t="s">
        <v>13</v>
      </c>
    </row>
    <row r="39" spans="1:4" x14ac:dyDescent="0.3">
      <c r="A39" s="2" t="s">
        <v>98</v>
      </c>
      <c r="B39" s="2">
        <v>63.5</v>
      </c>
      <c r="C39" s="2">
        <v>2250</v>
      </c>
      <c r="D39" s="2" t="s">
        <v>13</v>
      </c>
    </row>
    <row r="40" spans="1:4" x14ac:dyDescent="0.3">
      <c r="A40" s="2" t="s">
        <v>99</v>
      </c>
      <c r="B40" s="2">
        <v>60.4</v>
      </c>
      <c r="C40" s="2">
        <v>2250</v>
      </c>
      <c r="D40" s="2" t="s">
        <v>13</v>
      </c>
    </row>
    <row r="41" spans="1:4" x14ac:dyDescent="0.3">
      <c r="A41" s="2" t="s">
        <v>58</v>
      </c>
      <c r="B41" s="2">
        <v>56.8</v>
      </c>
      <c r="C41" s="2">
        <v>2000</v>
      </c>
      <c r="D41" s="2" t="s">
        <v>13</v>
      </c>
    </row>
    <row r="42" spans="1:4" x14ac:dyDescent="0.3">
      <c r="A42" s="2" t="s">
        <v>100</v>
      </c>
      <c r="B42" s="2">
        <v>55.9</v>
      </c>
      <c r="C42" s="2">
        <v>2250</v>
      </c>
      <c r="D42" s="2" t="s">
        <v>13</v>
      </c>
    </row>
    <row r="43" spans="1:4" x14ac:dyDescent="0.3">
      <c r="A43" s="2" t="s">
        <v>101</v>
      </c>
      <c r="B43" s="2">
        <v>55.3</v>
      </c>
      <c r="C43" s="2">
        <v>1500</v>
      </c>
      <c r="D43" s="2" t="s">
        <v>13</v>
      </c>
    </row>
    <row r="44" spans="1:4" x14ac:dyDescent="0.3">
      <c r="A44" s="2" t="s">
        <v>102</v>
      </c>
      <c r="B44" s="2">
        <v>55.3</v>
      </c>
      <c r="C44" s="2">
        <v>1500</v>
      </c>
      <c r="D44" s="2" t="s">
        <v>28</v>
      </c>
    </row>
    <row r="45" spans="1:4" x14ac:dyDescent="0.3">
      <c r="A45" s="2" t="s">
        <v>103</v>
      </c>
      <c r="B45" s="2">
        <v>55</v>
      </c>
      <c r="C45" s="2">
        <v>1500</v>
      </c>
      <c r="D45" s="2" t="s">
        <v>28</v>
      </c>
    </row>
    <row r="46" spans="1:4" x14ac:dyDescent="0.3">
      <c r="A46" s="2" t="s">
        <v>104</v>
      </c>
      <c r="B46" s="2">
        <v>54.9</v>
      </c>
      <c r="C46" s="2">
        <v>1500</v>
      </c>
      <c r="D46" s="2" t="s">
        <v>28</v>
      </c>
    </row>
    <row r="47" spans="1:4" x14ac:dyDescent="0.3">
      <c r="A47" s="2" t="s">
        <v>105</v>
      </c>
      <c r="B47" s="2">
        <v>53.9</v>
      </c>
      <c r="C47" s="2">
        <v>1500</v>
      </c>
      <c r="D47" s="2" t="s">
        <v>28</v>
      </c>
    </row>
    <row r="48" spans="1:4" x14ac:dyDescent="0.3">
      <c r="A48" s="2" t="s">
        <v>106</v>
      </c>
      <c r="B48" s="2">
        <v>51.2</v>
      </c>
      <c r="C48" s="2">
        <v>1000</v>
      </c>
      <c r="D48" s="2" t="s">
        <v>32</v>
      </c>
    </row>
    <row r="49" spans="1:4" x14ac:dyDescent="0.3">
      <c r="A49" s="2" t="s">
        <v>107</v>
      </c>
      <c r="B49" s="2">
        <v>47.9</v>
      </c>
      <c r="C49" s="2">
        <v>1500</v>
      </c>
      <c r="D49" s="2" t="s">
        <v>32</v>
      </c>
    </row>
    <row r="50" spans="1:4" x14ac:dyDescent="0.3">
      <c r="A50" s="2" t="s">
        <v>108</v>
      </c>
      <c r="B50" s="2">
        <v>67.099999999999994</v>
      </c>
      <c r="C50" s="2">
        <v>1500</v>
      </c>
      <c r="D50" s="2" t="s">
        <v>13</v>
      </c>
    </row>
    <row r="51" spans="1:4" x14ac:dyDescent="0.3">
      <c r="A51" s="2" t="s">
        <v>109</v>
      </c>
      <c r="B51" s="2">
        <v>64.2</v>
      </c>
      <c r="C51" s="2">
        <v>1500</v>
      </c>
      <c r="D51" s="2" t="s">
        <v>13</v>
      </c>
    </row>
    <row r="52" spans="1:4" x14ac:dyDescent="0.3">
      <c r="A52" s="2" t="s">
        <v>110</v>
      </c>
      <c r="B52" s="2">
        <v>63.8</v>
      </c>
      <c r="C52" s="2">
        <v>2250</v>
      </c>
      <c r="D52" s="2" t="s">
        <v>13</v>
      </c>
    </row>
    <row r="53" spans="1:4" x14ac:dyDescent="0.3">
      <c r="A53" s="2" t="s">
        <v>111</v>
      </c>
      <c r="B53" s="2">
        <v>63.6</v>
      </c>
      <c r="C53" s="2">
        <v>2250</v>
      </c>
      <c r="D53" s="2" t="s">
        <v>13</v>
      </c>
    </row>
    <row r="54" spans="1:4" x14ac:dyDescent="0.3">
      <c r="A54" s="2" t="s">
        <v>112</v>
      </c>
      <c r="B54" s="2">
        <v>61.3</v>
      </c>
      <c r="C54" s="2">
        <v>2250</v>
      </c>
      <c r="D54" s="2" t="s">
        <v>13</v>
      </c>
    </row>
    <row r="55" spans="1:4" x14ac:dyDescent="0.3">
      <c r="A55" s="2" t="s">
        <v>113</v>
      </c>
      <c r="B55" s="2">
        <v>60.8</v>
      </c>
      <c r="C55" s="2">
        <v>2250</v>
      </c>
      <c r="D55" s="2" t="s">
        <v>13</v>
      </c>
    </row>
    <row r="56" spans="1:4" x14ac:dyDescent="0.3">
      <c r="A56" s="2" t="s">
        <v>57</v>
      </c>
      <c r="B56" s="2">
        <v>59.3</v>
      </c>
      <c r="C56" s="2">
        <v>2000</v>
      </c>
      <c r="D56" s="2" t="s">
        <v>13</v>
      </c>
    </row>
    <row r="57" spans="1:4" x14ac:dyDescent="0.3">
      <c r="A57" s="2" t="s">
        <v>114</v>
      </c>
      <c r="B57" s="2">
        <v>59.1</v>
      </c>
      <c r="C57" s="2">
        <v>2250</v>
      </c>
      <c r="D57" s="2" t="s">
        <v>13</v>
      </c>
    </row>
    <row r="58" spans="1:4" x14ac:dyDescent="0.3">
      <c r="A58" s="2" t="s">
        <v>115</v>
      </c>
      <c r="B58" s="2">
        <v>57.6</v>
      </c>
      <c r="C58" s="2">
        <v>2250</v>
      </c>
      <c r="D58" s="2" t="s">
        <v>13</v>
      </c>
    </row>
    <row r="59" spans="1:4" x14ac:dyDescent="0.3">
      <c r="A59" s="2" t="s">
        <v>116</v>
      </c>
      <c r="B59" s="2">
        <v>55.9</v>
      </c>
      <c r="C59" s="2">
        <v>2250</v>
      </c>
      <c r="D59" s="2" t="s">
        <v>13</v>
      </c>
    </row>
    <row r="60" spans="1:4" x14ac:dyDescent="0.3">
      <c r="A60" s="2" t="s">
        <v>117</v>
      </c>
      <c r="B60" s="2">
        <v>53.4</v>
      </c>
      <c r="C60" s="2">
        <v>1500</v>
      </c>
      <c r="D60" s="2" t="s">
        <v>28</v>
      </c>
    </row>
    <row r="61" spans="1:4" x14ac:dyDescent="0.3">
      <c r="A61" s="2" t="s">
        <v>118</v>
      </c>
      <c r="B61" s="2">
        <v>53.1</v>
      </c>
      <c r="C61" s="2">
        <v>2250</v>
      </c>
      <c r="D61" s="2" t="s">
        <v>28</v>
      </c>
    </row>
    <row r="62" spans="1:4" x14ac:dyDescent="0.3">
      <c r="A62" s="2" t="s">
        <v>119</v>
      </c>
      <c r="B62" s="2">
        <v>53</v>
      </c>
      <c r="C62" s="2">
        <v>1500</v>
      </c>
      <c r="D62" s="2" t="s">
        <v>28</v>
      </c>
    </row>
    <row r="63" spans="1:4" x14ac:dyDescent="0.3">
      <c r="A63" s="2" t="s">
        <v>120</v>
      </c>
      <c r="B63" s="2">
        <v>52.9</v>
      </c>
      <c r="C63" s="2">
        <v>1500</v>
      </c>
      <c r="D63" s="2" t="s">
        <v>28</v>
      </c>
    </row>
    <row r="64" spans="1:4" x14ac:dyDescent="0.3">
      <c r="A64" s="2" t="s">
        <v>121</v>
      </c>
      <c r="B64" s="2">
        <v>52.1</v>
      </c>
      <c r="C64" s="2">
        <v>1500</v>
      </c>
      <c r="D64" s="2" t="s">
        <v>32</v>
      </c>
    </row>
    <row r="65" spans="1:4" x14ac:dyDescent="0.3">
      <c r="A65" s="2" t="s">
        <v>122</v>
      </c>
      <c r="B65" s="2">
        <v>46.1</v>
      </c>
      <c r="C65" s="2">
        <v>1000</v>
      </c>
      <c r="D65" s="2" t="s">
        <v>32</v>
      </c>
    </row>
    <row r="66" spans="1:4" x14ac:dyDescent="0.3">
      <c r="A66" s="2" t="s">
        <v>123</v>
      </c>
      <c r="B66" s="2">
        <v>65.3</v>
      </c>
      <c r="C66" s="2">
        <v>2250</v>
      </c>
      <c r="D66" s="2" t="s">
        <v>13</v>
      </c>
    </row>
    <row r="67" spans="1:4" x14ac:dyDescent="0.3">
      <c r="A67" s="2" t="s">
        <v>124</v>
      </c>
      <c r="B67" s="2">
        <v>65</v>
      </c>
      <c r="C67" s="2">
        <v>2250</v>
      </c>
      <c r="D67" s="2" t="s">
        <v>13</v>
      </c>
    </row>
    <row r="68" spans="1:4" x14ac:dyDescent="0.3">
      <c r="A68" s="2" t="s">
        <v>59</v>
      </c>
      <c r="B68" s="2">
        <v>64.099999999999994</v>
      </c>
      <c r="C68" s="2">
        <v>2000</v>
      </c>
      <c r="D68" s="2" t="s">
        <v>13</v>
      </c>
    </row>
    <row r="69" spans="1:4" x14ac:dyDescent="0.3">
      <c r="A69" s="2" t="s">
        <v>125</v>
      </c>
      <c r="B69" s="2">
        <v>60.6</v>
      </c>
      <c r="C69" s="2">
        <v>2250</v>
      </c>
      <c r="D69" s="2" t="s">
        <v>13</v>
      </c>
    </row>
    <row r="70" spans="1:4" x14ac:dyDescent="0.3">
      <c r="A70" s="2" t="s">
        <v>126</v>
      </c>
      <c r="B70" s="2">
        <v>60.1</v>
      </c>
      <c r="C70" s="2">
        <v>1500</v>
      </c>
      <c r="D70" s="2" t="s">
        <v>13</v>
      </c>
    </row>
    <row r="71" spans="1:4" x14ac:dyDescent="0.3">
      <c r="A71" s="2" t="s">
        <v>127</v>
      </c>
      <c r="B71" s="2">
        <v>59.9</v>
      </c>
      <c r="C71" s="2">
        <v>2250</v>
      </c>
      <c r="D71" s="2" t="s">
        <v>13</v>
      </c>
    </row>
    <row r="72" spans="1:4" x14ac:dyDescent="0.3">
      <c r="A72" s="2" t="s">
        <v>128</v>
      </c>
      <c r="B72" s="2">
        <v>59.5</v>
      </c>
      <c r="C72" s="2">
        <v>2250</v>
      </c>
      <c r="D72" s="2" t="s">
        <v>13</v>
      </c>
    </row>
    <row r="73" spans="1:4" x14ac:dyDescent="0.3">
      <c r="A73" s="2" t="s">
        <v>129</v>
      </c>
      <c r="B73" s="2">
        <v>58</v>
      </c>
      <c r="C73" s="2">
        <v>1500</v>
      </c>
      <c r="D73" s="2" t="s">
        <v>13</v>
      </c>
    </row>
    <row r="74" spans="1:4" x14ac:dyDescent="0.3">
      <c r="A74" s="2" t="s">
        <v>130</v>
      </c>
      <c r="B74" s="2">
        <v>57.4</v>
      </c>
      <c r="C74" s="2">
        <v>1500</v>
      </c>
      <c r="D74" s="2" t="s">
        <v>13</v>
      </c>
    </row>
    <row r="75" spans="1:4" x14ac:dyDescent="0.3">
      <c r="A75" s="2" t="s">
        <v>131</v>
      </c>
      <c r="B75" s="2">
        <v>57.2</v>
      </c>
      <c r="C75" s="2">
        <v>2250</v>
      </c>
      <c r="D75" s="2" t="s">
        <v>13</v>
      </c>
    </row>
    <row r="76" spans="1:4" x14ac:dyDescent="0.3">
      <c r="A76" s="2" t="s">
        <v>132</v>
      </c>
      <c r="B76" s="2">
        <v>56.3</v>
      </c>
      <c r="C76" s="2">
        <v>1500</v>
      </c>
      <c r="D76" s="2" t="s">
        <v>28</v>
      </c>
    </row>
    <row r="77" spans="1:4" x14ac:dyDescent="0.3">
      <c r="A77" s="2" t="s">
        <v>133</v>
      </c>
      <c r="B77" s="2">
        <v>56.2</v>
      </c>
      <c r="C77" s="2">
        <v>2250</v>
      </c>
      <c r="D77" s="2" t="s">
        <v>28</v>
      </c>
    </row>
    <row r="78" spans="1:4" x14ac:dyDescent="0.3">
      <c r="A78" s="2" t="s">
        <v>134</v>
      </c>
      <c r="B78" s="2">
        <v>51.1</v>
      </c>
      <c r="C78" s="2">
        <v>1500</v>
      </c>
      <c r="D78" s="2" t="s">
        <v>28</v>
      </c>
    </row>
    <row r="79" spans="1:4" x14ac:dyDescent="0.3">
      <c r="A79" s="2" t="s">
        <v>135</v>
      </c>
      <c r="B79" s="2">
        <v>50.8</v>
      </c>
      <c r="C79" s="2">
        <v>1500</v>
      </c>
      <c r="D79" s="2" t="s">
        <v>28</v>
      </c>
    </row>
    <row r="80" spans="1:4" x14ac:dyDescent="0.3">
      <c r="A80" s="2" t="s">
        <v>136</v>
      </c>
      <c r="B80" s="2">
        <v>49.9</v>
      </c>
      <c r="C80" s="2">
        <v>1500</v>
      </c>
      <c r="D80" s="2" t="s">
        <v>32</v>
      </c>
    </row>
    <row r="81" spans="1:4" x14ac:dyDescent="0.3">
      <c r="A81" s="2" t="s">
        <v>137</v>
      </c>
      <c r="B81" s="2">
        <v>44.4</v>
      </c>
      <c r="C81" s="2">
        <v>1000</v>
      </c>
      <c r="D81" s="2" t="s">
        <v>32</v>
      </c>
    </row>
    <row r="82" spans="1:4" x14ac:dyDescent="0.3">
      <c r="A82" s="2" t="s">
        <v>138</v>
      </c>
      <c r="B82" s="2">
        <v>65.8</v>
      </c>
      <c r="C82" s="2">
        <v>2250</v>
      </c>
      <c r="D82" s="2" t="s">
        <v>13</v>
      </c>
    </row>
    <row r="83" spans="1:4" x14ac:dyDescent="0.3">
      <c r="A83" s="2" t="s">
        <v>139</v>
      </c>
      <c r="B83" s="2">
        <v>63.6</v>
      </c>
      <c r="C83" s="2">
        <v>2250</v>
      </c>
      <c r="D83" s="2" t="s">
        <v>13</v>
      </c>
    </row>
    <row r="84" spans="1:4" x14ac:dyDescent="0.3">
      <c r="A84" s="2" t="s">
        <v>140</v>
      </c>
      <c r="B84" s="2">
        <v>63.6</v>
      </c>
      <c r="C84" s="2">
        <v>1500</v>
      </c>
      <c r="D84" s="2" t="s">
        <v>13</v>
      </c>
    </row>
    <row r="85" spans="1:4" x14ac:dyDescent="0.3">
      <c r="A85" s="2" t="s">
        <v>56</v>
      </c>
      <c r="B85" s="2">
        <v>63.3</v>
      </c>
      <c r="C85" s="2">
        <v>2000</v>
      </c>
      <c r="D85" s="2" t="s">
        <v>13</v>
      </c>
    </row>
    <row r="86" spans="1:4" x14ac:dyDescent="0.3">
      <c r="A86" s="2" t="s">
        <v>141</v>
      </c>
      <c r="B86" s="2">
        <v>60.4</v>
      </c>
      <c r="C86" s="2">
        <v>1500</v>
      </c>
      <c r="D86" s="2" t="s">
        <v>13</v>
      </c>
    </row>
    <row r="87" spans="1:4" x14ac:dyDescent="0.3">
      <c r="A87" s="2" t="s">
        <v>142</v>
      </c>
      <c r="B87" s="2">
        <v>60</v>
      </c>
      <c r="C87" s="2">
        <v>2250</v>
      </c>
      <c r="D87" s="2" t="s">
        <v>13</v>
      </c>
    </row>
    <row r="88" spans="1:4" x14ac:dyDescent="0.3">
      <c r="A88" s="2" t="s">
        <v>143</v>
      </c>
      <c r="B88" s="2">
        <v>58.5</v>
      </c>
      <c r="C88" s="2">
        <v>1500</v>
      </c>
      <c r="D88" s="2" t="s">
        <v>13</v>
      </c>
    </row>
    <row r="89" spans="1:4" x14ac:dyDescent="0.3">
      <c r="A89" s="2" t="s">
        <v>144</v>
      </c>
      <c r="B89" s="2">
        <v>57.9</v>
      </c>
      <c r="C89" s="2">
        <v>2250</v>
      </c>
      <c r="D89" s="2" t="s">
        <v>13</v>
      </c>
    </row>
    <row r="90" spans="1:4" x14ac:dyDescent="0.3">
      <c r="A90" s="2" t="s">
        <v>145</v>
      </c>
      <c r="B90" s="2">
        <v>57.8</v>
      </c>
      <c r="C90" s="2">
        <v>2250</v>
      </c>
      <c r="D90" s="2" t="s">
        <v>13</v>
      </c>
    </row>
    <row r="91" spans="1:4" x14ac:dyDescent="0.3">
      <c r="A91" s="2" t="s">
        <v>146</v>
      </c>
      <c r="B91" s="2">
        <v>57.6</v>
      </c>
      <c r="C91" s="2">
        <v>2250</v>
      </c>
      <c r="D91" s="2" t="s">
        <v>13</v>
      </c>
    </row>
    <row r="92" spans="1:4" x14ac:dyDescent="0.3">
      <c r="A92" s="2" t="s">
        <v>147</v>
      </c>
      <c r="B92" s="2">
        <v>56.8</v>
      </c>
      <c r="C92" s="2">
        <v>1500</v>
      </c>
      <c r="D92" s="2" t="s">
        <v>28</v>
      </c>
    </row>
    <row r="93" spans="1:4" x14ac:dyDescent="0.3">
      <c r="A93" s="2" t="s">
        <v>148</v>
      </c>
      <c r="B93" s="2">
        <v>49.9</v>
      </c>
      <c r="C93" s="2">
        <v>1500</v>
      </c>
      <c r="D93" s="2" t="s">
        <v>28</v>
      </c>
    </row>
    <row r="94" spans="1:4" x14ac:dyDescent="0.3">
      <c r="A94" s="2" t="s">
        <v>149</v>
      </c>
      <c r="B94" s="2">
        <v>48.9</v>
      </c>
      <c r="C94" s="2">
        <v>1500</v>
      </c>
      <c r="D94" s="2" t="s">
        <v>28</v>
      </c>
    </row>
    <row r="95" spans="1:4" x14ac:dyDescent="0.3">
      <c r="A95" s="2" t="s">
        <v>150</v>
      </c>
      <c r="B95" s="2">
        <v>48.9</v>
      </c>
      <c r="C95" s="2">
        <v>1500</v>
      </c>
      <c r="D95" s="2" t="s">
        <v>28</v>
      </c>
    </row>
    <row r="96" spans="1:4" x14ac:dyDescent="0.3">
      <c r="A96" s="2" t="s">
        <v>151</v>
      </c>
      <c r="B96" s="2">
        <v>48.1</v>
      </c>
      <c r="C96" s="2">
        <v>1000</v>
      </c>
      <c r="D96" s="2" t="s">
        <v>32</v>
      </c>
    </row>
    <row r="97" spans="1:4" x14ac:dyDescent="0.3">
      <c r="A97" s="2" t="s">
        <v>152</v>
      </c>
      <c r="B97" s="2">
        <v>46.8</v>
      </c>
      <c r="C97" s="2">
        <v>1000</v>
      </c>
      <c r="D97" s="2" t="s">
        <v>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Bar Summary</vt:lpstr>
      <vt:lpstr>ABC Mix</vt:lpstr>
      <vt:lpstr>Category</vt:lpstr>
      <vt:lpstr>Top Items</vt:lpstr>
      <vt:lpstr>Rate vs 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Deneshwaran M</cp:lastModifiedBy>
  <cp:revision>1</cp:revision>
  <dcterms:created xsi:type="dcterms:W3CDTF">2026-09-19T06:03:11Z</dcterms:created>
  <dcterms:modified xsi:type="dcterms:W3CDTF">2026-09-19T07:03:47Z</dcterms:modified>
  <dc:language>en-US</dc:language>
</cp:coreProperties>
</file>